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esktop\Dashboard\"/>
    </mc:Choice>
  </mc:AlternateContent>
  <xr:revisionPtr revIDLastSave="0" documentId="13_ncr:1_{684BF2DD-290D-4BE2-A951-EF31DD14C58D}" xr6:coauthVersionLast="47" xr6:coauthVersionMax="47" xr10:uidLastSave="{00000000-0000-0000-0000-000000000000}"/>
  <bookViews>
    <workbookView xWindow="-120" yWindow="-120" windowWidth="20730" windowHeight="11160" activeTab="2" xr2:uid="{00000000-000D-0000-FFFF-FFFF00000000}"/>
  </bookViews>
  <sheets>
    <sheet name="CleanData" sheetId="2" r:id="rId1"/>
    <sheet name="Messy_Data" sheetId="1" r:id="rId2"/>
    <sheet name="Dashboard" sheetId="3" r:id="rId3"/>
  </sheets>
  <definedNames>
    <definedName name="Slicer_Product_Category">#N/A</definedName>
    <definedName name="Slicer_Region">#N/A</definedName>
    <definedName name="Slicer_Years__Transact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3" l="1" a="1"/>
  <c r="L23" i="3" s="1"/>
  <c r="K23" i="3" a="1"/>
  <c r="K23" i="3" s="1"/>
  <c r="J23" i="3" a="1"/>
  <c r="J23" i="3" s="1"/>
  <c r="F23" i="3" a="1"/>
  <c r="F23" i="3" s="1"/>
  <c r="E23" i="3" a="1"/>
  <c r="E23" i="3" s="1"/>
  <c r="D23" i="3" a="1"/>
  <c r="D23" i="3" s="1"/>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56F041-3C06-4B6D-B26D-ED6055CEAACC}" keepAlive="1" name="Query - Finance_Messy_Data" description="Connection to the 'Finance_Messy_Data' query in the workbook." type="5" refreshedVersion="8" background="1" saveData="1">
    <dbPr connection="Provider=Microsoft.Mashup.OleDb.1;Data Source=$Workbook$;Location=Finance_Messy_Data;Extended Properties=&quot;&quot;" command="SELECT * FROM [Finance_Messy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<sst xmlns="http://schemas.openxmlformats.org/spreadsheetml/2006/main" count="2221" uniqueCount="569">
  <si>
    <t>Transaction_ID</t>
  </si>
  <si>
    <t>Transaction_Date</t>
  </si>
  <si>
    <t>Region</t>
  </si>
  <si>
    <t>Country</t>
  </si>
  <si>
    <t>Branch</t>
  </si>
  <si>
    <t>Account_Manager</t>
  </si>
  <si>
    <t>Customer_Name</t>
  </si>
  <si>
    <t>Customer_Segment</t>
  </si>
  <si>
    <t>Product_Category</t>
  </si>
  <si>
    <t>Product</t>
  </si>
  <si>
    <t>Units_Sold</t>
  </si>
  <si>
    <t>Unit_Price</t>
  </si>
  <si>
    <t>Discount</t>
  </si>
  <si>
    <t>Revenue</t>
  </si>
  <si>
    <t>Cost</t>
  </si>
  <si>
    <t>Profit</t>
  </si>
  <si>
    <t>Payment_Method</t>
  </si>
  <si>
    <t>Invoice_Status</t>
  </si>
  <si>
    <t>Currency</t>
  </si>
  <si>
    <t>Exchange_Rate</t>
  </si>
  <si>
    <t>FIN0001</t>
  </si>
  <si>
    <t>04/28/2024</t>
  </si>
  <si>
    <t>Americas</t>
  </si>
  <si>
    <t>Brazil</t>
  </si>
  <si>
    <t>Branch-11</t>
  </si>
  <si>
    <t>Sarah Lee</t>
  </si>
  <si>
    <t>Customer_36</t>
  </si>
  <si>
    <t>Enterprise</t>
  </si>
  <si>
    <t>Insurance</t>
  </si>
  <si>
    <t>Product_02</t>
  </si>
  <si>
    <t>10%</t>
  </si>
  <si>
    <t>Card</t>
  </si>
  <si>
    <t>Pending</t>
  </si>
  <si>
    <t>USD</t>
  </si>
  <si>
    <t>FIN0002</t>
  </si>
  <si>
    <t>2025-03-13</t>
  </si>
  <si>
    <t>MEA</t>
  </si>
  <si>
    <t>Japan</t>
  </si>
  <si>
    <t>Branch-16</t>
  </si>
  <si>
    <t>Michael Ong</t>
  </si>
  <si>
    <t>Customer_58</t>
  </si>
  <si>
    <t>Credit Cards</t>
  </si>
  <si>
    <t>Product_08</t>
  </si>
  <si>
    <t>Overdue</t>
  </si>
  <si>
    <t>PHP</t>
  </si>
  <si>
    <t>FIN0003</t>
  </si>
  <si>
    <t>12/07/2023</t>
  </si>
  <si>
    <t>Vietnam</t>
  </si>
  <si>
    <t>Branch-13</t>
  </si>
  <si>
    <t>john cruz</t>
  </si>
  <si>
    <t>Customer_54</t>
  </si>
  <si>
    <t>SME</t>
  </si>
  <si>
    <t>Savings</t>
  </si>
  <si>
    <t>Product_41</t>
  </si>
  <si>
    <t>Paid</t>
  </si>
  <si>
    <t>FIN0004</t>
  </si>
  <si>
    <t>16-Sep-24</t>
  </si>
  <si>
    <t>LATAM</t>
  </si>
  <si>
    <t>UAE</t>
  </si>
  <si>
    <t>Branch-14</t>
  </si>
  <si>
    <t>Ana Reyes</t>
  </si>
  <si>
    <t>Customer_78</t>
  </si>
  <si>
    <t>Cash</t>
  </si>
  <si>
    <t>FIN0005</t>
  </si>
  <si>
    <t>15-Jul-25</t>
  </si>
  <si>
    <t>USA</t>
  </si>
  <si>
    <t>Branch-12</t>
  </si>
  <si>
    <t>Retail</t>
  </si>
  <si>
    <t>Loans</t>
  </si>
  <si>
    <t>Product_23</t>
  </si>
  <si>
    <t>₱16,406</t>
  </si>
  <si>
    <t>0%</t>
  </si>
  <si>
    <t>FIN0006</t>
  </si>
  <si>
    <t>06-Oct-23</t>
  </si>
  <si>
    <t>Thailand</t>
  </si>
  <si>
    <t>Branch-5</t>
  </si>
  <si>
    <t>Customer_68</t>
  </si>
  <si>
    <t>Investments</t>
  </si>
  <si>
    <t>Product_25</t>
  </si>
  <si>
    <t>₱42,302</t>
  </si>
  <si>
    <t>15%</t>
  </si>
  <si>
    <t>FIN0007</t>
  </si>
  <si>
    <t>27/06/2024</t>
  </si>
  <si>
    <t>APAC</t>
  </si>
  <si>
    <t>Customer_63</t>
  </si>
  <si>
    <t>Product_49</t>
  </si>
  <si>
    <t>Bank Transfer</t>
  </si>
  <si>
    <t>FIN0008</t>
  </si>
  <si>
    <t>20-May-23</t>
  </si>
  <si>
    <t>South Africa</t>
  </si>
  <si>
    <t>Branch-7</t>
  </si>
  <si>
    <t>John Cruz</t>
  </si>
  <si>
    <t>Customer_38</t>
  </si>
  <si>
    <t>Product_39</t>
  </si>
  <si>
    <t>FIN0009</t>
  </si>
  <si>
    <t>2024-12-11</t>
  </si>
  <si>
    <t>Saudi Arabia</t>
  </si>
  <si>
    <t>Customer_73</t>
  </si>
  <si>
    <t>Corporate</t>
  </si>
  <si>
    <t>FIN0010</t>
  </si>
  <si>
    <t>05/06/2023</t>
  </si>
  <si>
    <t>Branch-2</t>
  </si>
  <si>
    <t>Customer_80</t>
  </si>
  <si>
    <t>Product_44</t>
  </si>
  <si>
    <t>₱21,866</t>
  </si>
  <si>
    <t>5%</t>
  </si>
  <si>
    <t>EUR</t>
  </si>
  <si>
    <t>FIN0011</t>
  </si>
  <si>
    <t>2023-04-01</t>
  </si>
  <si>
    <t>Singapore</t>
  </si>
  <si>
    <t>Branch-20</t>
  </si>
  <si>
    <t>FIN0012</t>
  </si>
  <si>
    <t>06-Oct-24</t>
  </si>
  <si>
    <t>India</t>
  </si>
  <si>
    <t>Customer_14</t>
  </si>
  <si>
    <t>Product_27</t>
  </si>
  <si>
    <t>FIN0013</t>
  </si>
  <si>
    <t>2024-06-19</t>
  </si>
  <si>
    <t>EMEA</t>
  </si>
  <si>
    <t>Australia</t>
  </si>
  <si>
    <t>Branch-19</t>
  </si>
  <si>
    <t>Customer_42</t>
  </si>
  <si>
    <t>Product_42</t>
  </si>
  <si>
    <t>FIN0014</t>
  </si>
  <si>
    <t>2023-09-23</t>
  </si>
  <si>
    <t>Branch-10</t>
  </si>
  <si>
    <t>Customer_29</t>
  </si>
  <si>
    <t>Product_43</t>
  </si>
  <si>
    <t>FIN0015</t>
  </si>
  <si>
    <t>09/05/2024</t>
  </si>
  <si>
    <t>Branch-9</t>
  </si>
  <si>
    <t>Customer_13</t>
  </si>
  <si>
    <t>Product_22</t>
  </si>
  <si>
    <t>₱45,694</t>
  </si>
  <si>
    <t>FIN0016</t>
  </si>
  <si>
    <t>07/08/2023</t>
  </si>
  <si>
    <t>FIN0017</t>
  </si>
  <si>
    <t>2023-10-21</t>
  </si>
  <si>
    <t>MARK TAN</t>
  </si>
  <si>
    <t>Customer_9</t>
  </si>
  <si>
    <t>Product_05</t>
  </si>
  <si>
    <t>₱43,844</t>
  </si>
  <si>
    <t>FIN0018</t>
  </si>
  <si>
    <t>11-May-23</t>
  </si>
  <si>
    <t>Customer_12</t>
  </si>
  <si>
    <t>Product_32</t>
  </si>
  <si>
    <t>FIN0019</t>
  </si>
  <si>
    <t>2025-03-07</t>
  </si>
  <si>
    <t>Customer_17</t>
  </si>
  <si>
    <t>Product_04</t>
  </si>
  <si>
    <t>FIN0020</t>
  </si>
  <si>
    <t>05/11/2023</t>
  </si>
  <si>
    <t>Customer_40</t>
  </si>
  <si>
    <t>Product_35</t>
  </si>
  <si>
    <t>FIN0021</t>
  </si>
  <si>
    <t>01/08/2025</t>
  </si>
  <si>
    <t>Spain</t>
  </si>
  <si>
    <t>FIN0022</t>
  </si>
  <si>
    <t>21-Apr-23</t>
  </si>
  <si>
    <t>Customer_43</t>
  </si>
  <si>
    <t>Product_17</t>
  </si>
  <si>
    <t>FIN0023</t>
  </si>
  <si>
    <t>10-Jan-25</t>
  </si>
  <si>
    <t>Branch-6</t>
  </si>
  <si>
    <t>Customer_32</t>
  </si>
  <si>
    <t>Product_15</t>
  </si>
  <si>
    <t>₱23,546</t>
  </si>
  <si>
    <t>FIN0024</t>
  </si>
  <si>
    <t>2024-11-16</t>
  </si>
  <si>
    <t>UK</t>
  </si>
  <si>
    <t>Customer_3</t>
  </si>
  <si>
    <t>Product_12</t>
  </si>
  <si>
    <t>FIN0025</t>
  </si>
  <si>
    <t>01-Aug-23</t>
  </si>
  <si>
    <t>Customer_4</t>
  </si>
  <si>
    <t>₱15,147</t>
  </si>
  <si>
    <t>FIN0026</t>
  </si>
  <si>
    <t>19/01/2024</t>
  </si>
  <si>
    <t>Branch-4</t>
  </si>
  <si>
    <t>Customer_64</t>
  </si>
  <si>
    <t>Product_11</t>
  </si>
  <si>
    <t>FIN0027</t>
  </si>
  <si>
    <t>10-Feb-24</t>
  </si>
  <si>
    <t>Philippines</t>
  </si>
  <si>
    <t>Branch-3</t>
  </si>
  <si>
    <t>Customer_39</t>
  </si>
  <si>
    <t>Product_13</t>
  </si>
  <si>
    <t>FIN0028</t>
  </si>
  <si>
    <t>02/22/2024</t>
  </si>
  <si>
    <t>Netherlands</t>
  </si>
  <si>
    <t>Branch-1</t>
  </si>
  <si>
    <t>Customer_23</t>
  </si>
  <si>
    <t>₱18,394</t>
  </si>
  <si>
    <t>FIN0029</t>
  </si>
  <si>
    <t>01/10/2024</t>
  </si>
  <si>
    <t>Italy</t>
  </si>
  <si>
    <t>Product_45</t>
  </si>
  <si>
    <t>FIN0030</t>
  </si>
  <si>
    <t>05/27/2025</t>
  </si>
  <si>
    <t>Customer_52</t>
  </si>
  <si>
    <t>FIN0031</t>
  </si>
  <si>
    <t>03-Jan-24</t>
  </si>
  <si>
    <t>Branch-15</t>
  </si>
  <si>
    <t>Customer_77</t>
  </si>
  <si>
    <t>Product_26</t>
  </si>
  <si>
    <t>FIN0032</t>
  </si>
  <si>
    <t>12/03/2025</t>
  </si>
  <si>
    <t>Customer_5</t>
  </si>
  <si>
    <t>Product_40</t>
  </si>
  <si>
    <t>₱43,949</t>
  </si>
  <si>
    <t>FIN0033</t>
  </si>
  <si>
    <t>2025-08-11</t>
  </si>
  <si>
    <t>Canada</t>
  </si>
  <si>
    <t>Product_33</t>
  </si>
  <si>
    <t>FIN0034</t>
  </si>
  <si>
    <t>2025-12-30</t>
  </si>
  <si>
    <t>Product_34</t>
  </si>
  <si>
    <t>FIN0035</t>
  </si>
  <si>
    <t>06/08/2023</t>
  </si>
  <si>
    <t>Customer_70</t>
  </si>
  <si>
    <t>Product_07</t>
  </si>
  <si>
    <t>FIN0036</t>
  </si>
  <si>
    <t>11/09/2024</t>
  </si>
  <si>
    <t>Customer_71</t>
  </si>
  <si>
    <t>Product_38</t>
  </si>
  <si>
    <t>FIN0037</t>
  </si>
  <si>
    <t>2024-05-30</t>
  </si>
  <si>
    <t>Germany</t>
  </si>
  <si>
    <t>Customer_31</t>
  </si>
  <si>
    <t>Product_03</t>
  </si>
  <si>
    <t>FIN0038</t>
  </si>
  <si>
    <t>2023-04-23</t>
  </si>
  <si>
    <t>FIN0039</t>
  </si>
  <si>
    <t>23/02/2024</t>
  </si>
  <si>
    <t>Customer_72</t>
  </si>
  <si>
    <t>Product_20</t>
  </si>
  <si>
    <t>FIN0040</t>
  </si>
  <si>
    <t>02-Jun-23</t>
  </si>
  <si>
    <t>Mexico</t>
  </si>
  <si>
    <t>FIN0041</t>
  </si>
  <si>
    <t>13-Feb-25</t>
  </si>
  <si>
    <t>Customer_11</t>
  </si>
  <si>
    <t>₱18,373</t>
  </si>
  <si>
    <t>FIN0042</t>
  </si>
  <si>
    <t>2025-07-11</t>
  </si>
  <si>
    <t>Customer_16</t>
  </si>
  <si>
    <t>Product_36</t>
  </si>
  <si>
    <t>FIN0043</t>
  </si>
  <si>
    <t>01/12/2024</t>
  </si>
  <si>
    <t>Product_10</t>
  </si>
  <si>
    <t>FIN0044</t>
  </si>
  <si>
    <t>08/03/2024</t>
  </si>
  <si>
    <t>Branch-17</t>
  </si>
  <si>
    <t>Customer_48</t>
  </si>
  <si>
    <t>Product_46</t>
  </si>
  <si>
    <t>FIN0045</t>
  </si>
  <si>
    <t>20-Dec-25</t>
  </si>
  <si>
    <t>FIN0046</t>
  </si>
  <si>
    <t>07/10/2024</t>
  </si>
  <si>
    <t>Product_21</t>
  </si>
  <si>
    <t>FIN0047</t>
  </si>
  <si>
    <t>29/05/2023</t>
  </si>
  <si>
    <t>110%</t>
  </si>
  <si>
    <t>FIN0048</t>
  </si>
  <si>
    <t>07-Apr-25</t>
  </si>
  <si>
    <t>Customer_28</t>
  </si>
  <si>
    <t>FIN0049</t>
  </si>
  <si>
    <t>2025-10-20</t>
  </si>
  <si>
    <t>Product_14</t>
  </si>
  <si>
    <t>FIN0050</t>
  </si>
  <si>
    <t>2025-09-20</t>
  </si>
  <si>
    <t>Customer_66</t>
  </si>
  <si>
    <t>Product_50</t>
  </si>
  <si>
    <t>FIN0051</t>
  </si>
  <si>
    <t>08/28/2023</t>
  </si>
  <si>
    <t>Customer_19</t>
  </si>
  <si>
    <t>Product_19</t>
  </si>
  <si>
    <t>FIN0052</t>
  </si>
  <si>
    <t>01/18/2023</t>
  </si>
  <si>
    <t>Product_29</t>
  </si>
  <si>
    <t>FIN0053</t>
  </si>
  <si>
    <t>27-May-24</t>
  </si>
  <si>
    <t>Customer_69</t>
  </si>
  <si>
    <t>Product_01</t>
  </si>
  <si>
    <t>FIN0054</t>
  </si>
  <si>
    <t>26-Aug-24</t>
  </si>
  <si>
    <t>FIN0055</t>
  </si>
  <si>
    <t>05/05/2025</t>
  </si>
  <si>
    <t>Customer_6</t>
  </si>
  <si>
    <t>FIN0056</t>
  </si>
  <si>
    <t>01/06/2024</t>
  </si>
  <si>
    <t>FIN0057</t>
  </si>
  <si>
    <t>2024-08-30</t>
  </si>
  <si>
    <t>Customer_8</t>
  </si>
  <si>
    <t>FIN0058</t>
  </si>
  <si>
    <t>2025-09-19</t>
  </si>
  <si>
    <t>FIN0059</t>
  </si>
  <si>
    <t>12/08/2023</t>
  </si>
  <si>
    <t>Customer_1</t>
  </si>
  <si>
    <t>FIN0060</t>
  </si>
  <si>
    <t>15-Dec-25</t>
  </si>
  <si>
    <t>FIN0061</t>
  </si>
  <si>
    <t>11-Jun-23</t>
  </si>
  <si>
    <t>Customer_74</t>
  </si>
  <si>
    <t>FIN0062</t>
  </si>
  <si>
    <t>04/02/2024</t>
  </si>
  <si>
    <t>Customer_25</t>
  </si>
  <si>
    <t>FIN0063</t>
  </si>
  <si>
    <t>2024-12-22</t>
  </si>
  <si>
    <t>FIN0064</t>
  </si>
  <si>
    <t>03/16/2023</t>
  </si>
  <si>
    <t>France</t>
  </si>
  <si>
    <t>FIN0065</t>
  </si>
  <si>
    <t>24-Sep-24</t>
  </si>
  <si>
    <t>Customer_53</t>
  </si>
  <si>
    <t>FIN0066</t>
  </si>
  <si>
    <t>11-Oct-25</t>
  </si>
  <si>
    <t>Customer_47</t>
  </si>
  <si>
    <t>FIN0067</t>
  </si>
  <si>
    <t>02/17/2023</t>
  </si>
  <si>
    <t>Customer_67</t>
  </si>
  <si>
    <t>Product_16</t>
  </si>
  <si>
    <t>FIN0068</t>
  </si>
  <si>
    <t>05-Oct-25</t>
  </si>
  <si>
    <t>Customer_62</t>
  </si>
  <si>
    <t>FIN0069</t>
  </si>
  <si>
    <t>31-May-23</t>
  </si>
  <si>
    <t>Product_37</t>
  </si>
  <si>
    <t>FIN0070</t>
  </si>
  <si>
    <t>2024-10-12</t>
  </si>
  <si>
    <t>Customer_75</t>
  </si>
  <si>
    <t>FIN0071</t>
  </si>
  <si>
    <t>19/02/2023</t>
  </si>
  <si>
    <t>Customer_33</t>
  </si>
  <si>
    <t>Product_09</t>
  </si>
  <si>
    <t>FIN0072</t>
  </si>
  <si>
    <t>22/10/2025</t>
  </si>
  <si>
    <t>Customer_49</t>
  </si>
  <si>
    <t>Product_31</t>
  </si>
  <si>
    <t>FIN0073</t>
  </si>
  <si>
    <t>04/30/2024</t>
  </si>
  <si>
    <t>FIN0074</t>
  </si>
  <si>
    <t>28-Jan-23</t>
  </si>
  <si>
    <t>FIN0075</t>
  </si>
  <si>
    <t>27-Feb-25</t>
  </si>
  <si>
    <t>FIN0076</t>
  </si>
  <si>
    <t>2025-10-26</t>
  </si>
  <si>
    <t>Product_30</t>
  </si>
  <si>
    <t>₱35,212</t>
  </si>
  <si>
    <t>FIN0077</t>
  </si>
  <si>
    <t>2025-07-21</t>
  </si>
  <si>
    <t>FIN0078</t>
  </si>
  <si>
    <t>17-May-23</t>
  </si>
  <si>
    <t>FIN0079</t>
  </si>
  <si>
    <t>06/04/2025</t>
  </si>
  <si>
    <t>₱45,952</t>
  </si>
  <si>
    <t>FIN0080</t>
  </si>
  <si>
    <t>03/02/2024</t>
  </si>
  <si>
    <t>FIN0081</t>
  </si>
  <si>
    <t>26-Mar-25</t>
  </si>
  <si>
    <t>FIN0082</t>
  </si>
  <si>
    <t>2024-08-02</t>
  </si>
  <si>
    <t>Customer_22</t>
  </si>
  <si>
    <t>FIN0083</t>
  </si>
  <si>
    <t>01/01/2023</t>
  </si>
  <si>
    <t>Customer_10</t>
  </si>
  <si>
    <t>FIN0084</t>
  </si>
  <si>
    <t>06/14/2025</t>
  </si>
  <si>
    <t>FIN0085</t>
  </si>
  <si>
    <t>2024-01-13</t>
  </si>
  <si>
    <t>Customer_76</t>
  </si>
  <si>
    <t>FIN0086</t>
  </si>
  <si>
    <t>05/31/2024</t>
  </si>
  <si>
    <t>Customer_59</t>
  </si>
  <si>
    <t>FIN0087</t>
  </si>
  <si>
    <t>2025-12-13</t>
  </si>
  <si>
    <t>Branch-18</t>
  </si>
  <si>
    <t>Product_24</t>
  </si>
  <si>
    <t>FIN0088</t>
  </si>
  <si>
    <t>2024-09-16</t>
  </si>
  <si>
    <t>Branch-8</t>
  </si>
  <si>
    <t>FIN0089</t>
  </si>
  <si>
    <t>15/05/2024</t>
  </si>
  <si>
    <t>FIN0090</t>
  </si>
  <si>
    <t>2025-06-26</t>
  </si>
  <si>
    <t>FIN0091</t>
  </si>
  <si>
    <t>2024-06-26</t>
  </si>
  <si>
    <t>Customer_56</t>
  </si>
  <si>
    <t>₱5,635</t>
  </si>
  <si>
    <t>FIN0092</t>
  </si>
  <si>
    <t>14/01/2023</t>
  </si>
  <si>
    <t>Product_28</t>
  </si>
  <si>
    <t>FIN0093</t>
  </si>
  <si>
    <t>02-Aug-23</t>
  </si>
  <si>
    <t>FIN0094</t>
  </si>
  <si>
    <t>19/06/2024</t>
  </si>
  <si>
    <t>FIN0095</t>
  </si>
  <si>
    <t>23/07/2023</t>
  </si>
  <si>
    <t>FIN0096</t>
  </si>
  <si>
    <t>07/12/2025</t>
  </si>
  <si>
    <t>Customer_45</t>
  </si>
  <si>
    <t>FIN0097</t>
  </si>
  <si>
    <t>2023-12-02</t>
  </si>
  <si>
    <t>Customer_46</t>
  </si>
  <si>
    <t>FIN0098</t>
  </si>
  <si>
    <t>15/06/2024</t>
  </si>
  <si>
    <t>FIN0099</t>
  </si>
  <si>
    <t>17-Jan-23</t>
  </si>
  <si>
    <t>Customer_21</t>
  </si>
  <si>
    <t>FIN0100</t>
  </si>
  <si>
    <t>17-Jun-25</t>
  </si>
  <si>
    <t>FIN0101</t>
  </si>
  <si>
    <t>13/01/2025</t>
  </si>
  <si>
    <t>FIN0102</t>
  </si>
  <si>
    <t>2024-12-09</t>
  </si>
  <si>
    <t>FIN0103</t>
  </si>
  <si>
    <t>2024-03-15</t>
  </si>
  <si>
    <t>FIN0104</t>
  </si>
  <si>
    <t>12/08/2024</t>
  </si>
  <si>
    <t>Customer_65</t>
  </si>
  <si>
    <t>FIN0105</t>
  </si>
  <si>
    <t>03/16/2025</t>
  </si>
  <si>
    <t>Customer_51</t>
  </si>
  <si>
    <t>FIN0106</t>
  </si>
  <si>
    <t>05/29/2025</t>
  </si>
  <si>
    <t>Customer_35</t>
  </si>
  <si>
    <t>FIN0107</t>
  </si>
  <si>
    <t>25-Dec-25</t>
  </si>
  <si>
    <t>FIN0108</t>
  </si>
  <si>
    <t>2023-08-21</t>
  </si>
  <si>
    <t>FIN0109</t>
  </si>
  <si>
    <t>14/03/2024</t>
  </si>
  <si>
    <t>FIN0110</t>
  </si>
  <si>
    <t>29-Oct-23</t>
  </si>
  <si>
    <t>Customer_60</t>
  </si>
  <si>
    <t>FIN0111</t>
  </si>
  <si>
    <t>2025-05-04</t>
  </si>
  <si>
    <t>FIN0112</t>
  </si>
  <si>
    <t>01/01/2024</t>
  </si>
  <si>
    <t>FIN0113</t>
  </si>
  <si>
    <t>12-Sep-24</t>
  </si>
  <si>
    <t>₱44,603</t>
  </si>
  <si>
    <t>FIN0114</t>
  </si>
  <si>
    <t>15/10/2025</t>
  </si>
  <si>
    <t>Customer_44</t>
  </si>
  <si>
    <t>FIN0115</t>
  </si>
  <si>
    <t>02/24/2025</t>
  </si>
  <si>
    <t>FIN0116</t>
  </si>
  <si>
    <t>03/31/2025</t>
  </si>
  <si>
    <t>FIN0117</t>
  </si>
  <si>
    <t>06-Nov-23</t>
  </si>
  <si>
    <t>FIN0118</t>
  </si>
  <si>
    <t>2023-04-14</t>
  </si>
  <si>
    <t>FIN0119</t>
  </si>
  <si>
    <t>2025-01-05</t>
  </si>
  <si>
    <t>FIN0120</t>
  </si>
  <si>
    <t>24-Apr-25</t>
  </si>
  <si>
    <t>FIN0121</t>
  </si>
  <si>
    <t>27-Jun-25</t>
  </si>
  <si>
    <t>Customer_34</t>
  </si>
  <si>
    <t>Product_47</t>
  </si>
  <si>
    <t>₱2,608</t>
  </si>
  <si>
    <t>FIN0122</t>
  </si>
  <si>
    <t>2024-01-21</t>
  </si>
  <si>
    <t>FIN0123</t>
  </si>
  <si>
    <t>11-May-24</t>
  </si>
  <si>
    <t>FIN0124</t>
  </si>
  <si>
    <t>03/08/2025</t>
  </si>
  <si>
    <t>FIN0125</t>
  </si>
  <si>
    <t>03-Oct-25</t>
  </si>
  <si>
    <t>FIN0126</t>
  </si>
  <si>
    <t>28-Sep-25</t>
  </si>
  <si>
    <t>₱12,772</t>
  </si>
  <si>
    <t>FIN0127</t>
  </si>
  <si>
    <t>08/14/2025</t>
  </si>
  <si>
    <t>FIN0128</t>
  </si>
  <si>
    <t>06/16/2024</t>
  </si>
  <si>
    <t>FIN0129</t>
  </si>
  <si>
    <t>09/11/2023</t>
  </si>
  <si>
    <t>FIN0130</t>
  </si>
  <si>
    <t>23/09/2023</t>
  </si>
  <si>
    <t>Customer_61</t>
  </si>
  <si>
    <t>FIN0131</t>
  </si>
  <si>
    <t>10/24/2024</t>
  </si>
  <si>
    <t>FIN0132</t>
  </si>
  <si>
    <t>09/10/2025</t>
  </si>
  <si>
    <t>FIN0133</t>
  </si>
  <si>
    <t>2025-12-31</t>
  </si>
  <si>
    <t>FIN0134</t>
  </si>
  <si>
    <t>2023-08-23</t>
  </si>
  <si>
    <t>Customer_41</t>
  </si>
  <si>
    <t>FIN0135</t>
  </si>
  <si>
    <t>31-Mar-23</t>
  </si>
  <si>
    <t>FIN0136</t>
  </si>
  <si>
    <t>02-Jul-23</t>
  </si>
  <si>
    <t>Customer_57</t>
  </si>
  <si>
    <t>₱13,342</t>
  </si>
  <si>
    <t>FIN0137</t>
  </si>
  <si>
    <t>12/20/2024</t>
  </si>
  <si>
    <t>FIN0138</t>
  </si>
  <si>
    <t>25-Mar-23</t>
  </si>
  <si>
    <t>₱46,329</t>
  </si>
  <si>
    <t>FIN0139</t>
  </si>
  <si>
    <t>2025-03-01</t>
  </si>
  <si>
    <t>FIN0140</t>
  </si>
  <si>
    <t>2024-12-24</t>
  </si>
  <si>
    <t>FIN0141</t>
  </si>
  <si>
    <t>FIN0142</t>
  </si>
  <si>
    <t>03-Aug-25</t>
  </si>
  <si>
    <t>₱36,996</t>
  </si>
  <si>
    <t>FIN0143</t>
  </si>
  <si>
    <t>13-Jul-23</t>
  </si>
  <si>
    <t>Customer_26</t>
  </si>
  <si>
    <t>FIN0144</t>
  </si>
  <si>
    <t>22-Nov-23</t>
  </si>
  <si>
    <t>Customer_79</t>
  </si>
  <si>
    <t>FIN0145</t>
  </si>
  <si>
    <t>27-Feb-23</t>
  </si>
  <si>
    <t>FIN0146</t>
  </si>
  <si>
    <t>2024-04-11</t>
  </si>
  <si>
    <t>₱28,459</t>
  </si>
  <si>
    <t>FIN0147</t>
  </si>
  <si>
    <t>12-Jul-25</t>
  </si>
  <si>
    <t>Customer_15</t>
  </si>
  <si>
    <t>FIN0148</t>
  </si>
  <si>
    <t>2024-10-25</t>
  </si>
  <si>
    <t>FIN0149</t>
  </si>
  <si>
    <t>02/03/2024</t>
  </si>
  <si>
    <t>FIN0150</t>
  </si>
  <si>
    <t>19-Sep-24</t>
  </si>
  <si>
    <t>Mea</t>
  </si>
  <si>
    <t>Latam</t>
  </si>
  <si>
    <t>Apac</t>
  </si>
  <si>
    <t>Emea</t>
  </si>
  <si>
    <t>PERFORMANCE FINANCIAL OVERVIEW</t>
  </si>
  <si>
    <t>Track key financial  metrics and performance trends</t>
  </si>
  <si>
    <t>Sum of Revenue</t>
  </si>
  <si>
    <t>Sum of Profit</t>
  </si>
  <si>
    <t>Count of Transaction_Date</t>
  </si>
  <si>
    <t>Sum of Profit Margin</t>
  </si>
  <si>
    <t>Count of Transaction_ID</t>
  </si>
  <si>
    <t>AVG Deal Size</t>
  </si>
  <si>
    <t>Row Labels</t>
  </si>
  <si>
    <t>Grand Total</t>
  </si>
  <si>
    <t>Jan</t>
  </si>
  <si>
    <t>Feb</t>
  </si>
  <si>
    <t>Mar</t>
  </si>
  <si>
    <t>Apr</t>
  </si>
  <si>
    <t>May</t>
  </si>
  <si>
    <t>Jun</t>
  </si>
  <si>
    <t>Jul</t>
  </si>
  <si>
    <t>Aug</t>
  </si>
  <si>
    <t>Sep</t>
  </si>
  <si>
    <t>Oct</t>
  </si>
  <si>
    <t>Nov</t>
  </si>
  <si>
    <t>Dec</t>
  </si>
  <si>
    <t>Revenue Trend</t>
  </si>
  <si>
    <t>REVENUE TREND</t>
  </si>
  <si>
    <t>REVENUE BY REGION</t>
  </si>
  <si>
    <t>% of Total</t>
  </si>
  <si>
    <t>TOP 5 COUNTRIES BY REVENUE</t>
  </si>
  <si>
    <t>RANK</t>
  </si>
  <si>
    <t>REVENUE</t>
  </si>
  <si>
    <t xml:space="preserve">RANK </t>
  </si>
  <si>
    <t>COUNTRY</t>
  </si>
  <si>
    <t>TOP 5 PRODUCT BY REVENUE</t>
  </si>
  <si>
    <t>PRODUCT</t>
  </si>
  <si>
    <t>REVENUE VS PROFIT BY MONTH</t>
  </si>
  <si>
    <t>Date as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</si>
</sst>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0"/>
    <numFmt numFmtId="170" formatCode="&quot;₱&quot;#,##0;\-&quot;₱&quot;#,##0;&quot;&quot;"/>
    <numFmt numFmtId="172" formatCode="dd\ mmmm\ yyyy"/>
  </numFmts>
  <fonts count="15" x14ac:knownFonts="1">
    <font>
      <sz val="11"/>
      <color theme="1"/>
      <name val="Calibri"/>
      <family val="2"/>
      <scheme val="minor"/>
    </font>
    <font>
      <sz val="11"/>
      <color theme="1"/>
      <name val="Calibri"/>
      <family val="2"/>
      <scheme val="minor"/>
    </font>
    <font>
      <sz val="12"/>
      <color theme="1"/>
      <name val="Calibri"/>
      <family val="2"/>
      <scheme val="minor"/>
    </font>
    <font>
      <sz val="11"/>
      <color rgb="FF001B2A"/>
      <name val="Calibri"/>
      <family val="2"/>
      <scheme val="minor"/>
    </font>
    <font>
      <sz val="12"/>
      <color rgb="FF001B2A"/>
      <name val="Calibri"/>
      <family val="2"/>
      <scheme val="minor"/>
    </font>
    <font>
      <b/>
      <sz val="18"/>
      <color rgb="FF001B2A"/>
      <name val="Calibri"/>
      <family val="2"/>
      <scheme val="minor"/>
    </font>
    <font>
      <sz val="10"/>
      <color theme="1"/>
      <name val="Calibri"/>
      <family val="2"/>
      <scheme val="minor"/>
    </font>
    <font>
      <b/>
      <sz val="10"/>
      <color rgb="FF001B2A"/>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6"/>
      <color theme="6"/>
      <name val="Calibri"/>
      <family val="2"/>
      <scheme val="minor"/>
    </font>
    <font>
      <b/>
      <sz val="14"/>
      <color theme="6"/>
      <name val="Calibri"/>
      <family val="2"/>
      <scheme val="minor"/>
    </font>
    <font>
      <b/>
      <sz val="22"/>
      <color rgb="FF001B2A"/>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65" fontId="0" fillId="0" borderId="0" xfId="0" applyNumberFormat="1"/>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8" fillId="2" borderId="0" xfId="0" applyFont="1" applyFill="1" applyAlignment="1">
      <alignment horizontal="center"/>
    </xf>
    <xf numFmtId="0" fontId="2" fillId="2" borderId="0" xfId="0" applyFont="1" applyFill="1" applyAlignment="1">
      <alignment horizontal="center"/>
    </xf>
    <xf numFmtId="0" fontId="0" fillId="0" borderId="0" xfId="0" applyNumberFormat="1"/>
    <xf numFmtId="0" fontId="11" fillId="2" borderId="0" xfId="0" applyFont="1" applyFill="1" applyAlignment="1">
      <alignment horizontal="center" vertical="center"/>
    </xf>
    <xf numFmtId="0" fontId="12" fillId="2" borderId="0" xfId="0" applyFont="1" applyFill="1" applyAlignment="1">
      <alignment horizontal="center" vertical="center"/>
    </xf>
    <xf numFmtId="0" fontId="0" fillId="3" borderId="0" xfId="0" applyFill="1"/>
    <xf numFmtId="0" fontId="0" fillId="2" borderId="0" xfId="0" applyFill="1"/>
    <xf numFmtId="0" fontId="14" fillId="2" borderId="0" xfId="0" applyFont="1" applyFill="1"/>
    <xf numFmtId="0" fontId="5" fillId="2" borderId="0" xfId="0" applyFont="1" applyFill="1"/>
    <xf numFmtId="0" fontId="4" fillId="2" borderId="0" xfId="0" applyFont="1" applyFill="1"/>
    <xf numFmtId="0" fontId="2" fillId="2" borderId="0" xfId="0" applyFont="1" applyFill="1"/>
    <xf numFmtId="0" fontId="3" fillId="2" borderId="0" xfId="0" applyFont="1" applyFill="1"/>
    <xf numFmtId="0" fontId="6" fillId="2" borderId="0" xfId="0" applyFont="1" applyFill="1"/>
    <xf numFmtId="0" fontId="7" fillId="2" borderId="0" xfId="0" applyFont="1" applyFill="1"/>
    <xf numFmtId="0" fontId="7" fillId="2" borderId="0" xfId="0" applyFont="1" applyFill="1" applyAlignment="1">
      <alignment horizontal="center"/>
    </xf>
    <xf numFmtId="0" fontId="13" fillId="2" borderId="0" xfId="0" applyFont="1" applyFill="1" applyAlignment="1">
      <alignment horizontal="center"/>
    </xf>
    <xf numFmtId="0" fontId="0" fillId="2" borderId="0" xfId="0"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xf>
    <xf numFmtId="0" fontId="9" fillId="2" borderId="0" xfId="0" applyFont="1" applyFill="1" applyAlignment="1">
      <alignment horizontal="center" vertical="center"/>
    </xf>
    <xf numFmtId="0" fontId="9" fillId="2" borderId="0" xfId="0" applyFont="1" applyFill="1" applyBorder="1" applyAlignment="1">
      <alignment horizontal="center" vertical="center"/>
    </xf>
    <xf numFmtId="170" fontId="9" fillId="2" borderId="0" xfId="0" applyNumberFormat="1" applyFont="1" applyFill="1"/>
    <xf numFmtId="0" fontId="9" fillId="2" borderId="0" xfId="1" applyNumberFormat="1" applyFont="1" applyFill="1" applyBorder="1"/>
    <xf numFmtId="0" fontId="9" fillId="2" borderId="0" xfId="0" applyFont="1" applyFill="1"/>
    <xf numFmtId="170" fontId="9" fillId="2" borderId="0" xfId="0" applyNumberFormat="1" applyFont="1" applyFill="1" applyBorder="1" applyAlignment="1">
      <alignment horizontal="center"/>
    </xf>
    <xf numFmtId="170" fontId="9" fillId="2" borderId="0" xfId="1" applyNumberFormat="1" applyFont="1" applyFill="1" applyBorder="1" applyAlignment="1">
      <alignment horizontal="center"/>
    </xf>
    <xf numFmtId="0" fontId="0" fillId="2" borderId="0" xfId="0" applyFill="1" applyBorder="1" applyAlignment="1">
      <alignment horizontal="center"/>
    </xf>
    <xf numFmtId="0" fontId="9" fillId="2" borderId="0" xfId="0" applyFont="1" applyFill="1" applyBorder="1" applyAlignment="1">
      <alignment horizontal="center"/>
    </xf>
    <xf numFmtId="170" fontId="9" fillId="2" borderId="0" xfId="1" applyNumberFormat="1" applyFont="1" applyFill="1"/>
    <xf numFmtId="0" fontId="2" fillId="2" borderId="0" xfId="0" applyFont="1" applyFill="1" applyAlignment="1">
      <alignment horizontal="center" vertical="center"/>
    </xf>
    <xf numFmtId="0" fontId="0" fillId="2" borderId="0" xfId="0" applyFill="1" applyAlignment="1">
      <alignment vertical="center"/>
    </xf>
    <xf numFmtId="0" fontId="10" fillId="2" borderId="0" xfId="0" applyFont="1" applyFill="1" applyAlignment="1">
      <alignment horizontal="center"/>
    </xf>
    <xf numFmtId="172" fontId="10" fillId="2" borderId="0" xfId="0" applyNumberFormat="1" applyFont="1" applyFill="1" applyAlignment="1">
      <alignment horizontal="center"/>
    </xf>
  </cellXfs>
  <cellStyles count="2">
    <cellStyle name="Normal" xfId="0" builtinId="0"/>
    <cellStyle name="Percent" xfId="1" builtinId="5"/>
  </cellStyles>
  <dxfs count="228">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65" formatCode="&quot;₱&quot;#,##0"/>
    </dxf>
  </dxfs>
  <tableStyles count="0" defaultTableStyle="TableStyleMedium9" defaultPivotStyle="PivotStyleLight16"/>
  <colors>
    <mruColors>
      <color rgb="FF001B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[Finance_Messy_Dataset_150Rows.xlsx]CleanData!PivotTable3</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CleanData!$B$4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CleanData!$A$5:$A$17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CleanData!$B$5:$B$17</c:f>
              <c:numCache>
                <c:formatCode>General</c:formatCode>
                <c:ptCount val="12"/>
                <c:pt idx="0">
                  <c:v>24667649</c:v>
                </c:pt>
                <c:pt idx="1">
                  <c:v>13595181</c:v>
                </c:pt>
                <c:pt idx="2">
                  <c:v>14784439</c:v>
                </c:pt>
                <c:pt idx="3">
                  <c:v>10328511</c:v>
                </c:pt>
                <c:pt idx="4">
                  <c:v>9193785</c:v>
                </c:pt>
                <c:pt idx="5">
                  <c:v>10605530</c:v>
                </c:pt>
                <c:pt idx="6">
                  <c:v>5195421</c:v>
                </c:pt>
                <c:pt idx="7">
                  <c:v>14160019</c:v>
                </c:pt>
                <c:pt idx="8">
                  <c:v>9173809</c:v>
                </c:pt>
                <c:pt idx="9">
                  <c:v>25601519</c:v>
                </c:pt>
                <c:pt idx="10">
                  <c:v>1759184</c:v>
                </c:pt>
                <c:pt idx="11">
                  <c:v>12439705</c:v>
                </c:pt>
              </c:numCache>
            </c:numRef>
          </c:val>
          <c:smooth val="0"/>
          <c:extLst>
            <c:ext xmlns:c16="http://schemas.microsoft.com/office/drawing/2014/chart" uri="{C3380CC4-5D6E-409C-BE32-E72D297353CC}">
              <c16:uniqueId val="{00000000-EB03-4564-B41A-24CADFD48C76}"/>
            </c:ext>
          </c:extLst>
        </c:ser>
        <c:dLbls>
          <c:showLegendKey val="0"/>
          <c:showVal val="0"/>
          <c:showCatName val="0"/>
          <c:showSerName val="0"/>
          <c:showPercent val="0"/>
          <c:showBubbleSize val="0"/>
        </c:dLbls>
        <c:marker val="1"/>
        <c:smooth val="0"/>
        <c:axId val="157140304"/>
        <c:axId val="157120144"/>
      </c:lineChart>
      <c:catAx>
        <c:axId val="157140304"/>
        <c:scaling>
          <c:orientation val="minMax"/>
        </c:scaling>
        <c:delete val="1"/>
        <c:axPos val="b"/>
        <c:numFmt formatCode="General" sourceLinked="1"/>
        <c:majorTickMark val="out"/>
        <c:minorTickMark val="none"/>
        <c:tickLblPos val="nextTo"/>
        <c:crossAx val="157120144"/>
        <c:crosses val="autoZero"/>
        <c:auto val="1"/>
        <c:lblAlgn val="ctr"/>
        <c:lblOffset val="100"/>
        <c:noMultiLvlLbl val="0"/>
      </c:catAx>
      <c:valAx>
        <c:axId val="1571201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71403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[Finance_Messy_Dataset_150Rows.xlsx]CleanData!PivotTable4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CleanData!$D$4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CleanData!$C$5:$C$10</c:f>
              <c:strCache>
                <c:ptCount val="5"/>
                <c:pt idx="0">
                  <c:v>Americas</c:v>
                </c:pt>
                <c:pt idx="1">
                  <c:v>Apac</c:v>
                </c:pt>
                <c:pt idx="2">
                  <c:v>Emea</c:v>
                </c:pt>
                <c:pt idx="3">
                  <c:v>Latam</c:v>
                </c:pt>
                <c:pt idx="4">
                  <c:v>Mea</c:v>
                </c:pt>
              </c:strCache>
            </c:strRef>
          </c:cat>
          <c:val>
            <c:numRef>
              <c:f>CleanData!$D$5:$D$10</c:f>
              <c:numCache>
                <c:formatCode>"₱"#,##0</c:formatCode>
                <c:ptCount val="5"/>
                <c:pt idx="0">
                  <c:v>33868238</c:v>
                </c:pt>
                <c:pt idx="1">
                  <c:v>19757848</c:v>
                </c:pt>
                <c:pt idx="2">
                  <c:v>27331552</c:v>
                </c:pt>
                <c:pt idx="3">
                  <c:v>32408651</c:v>
                </c:pt>
                <c:pt idx="4">
                  <c:v>38138463</c:v>
                </c:pt>
              </c:numCache>
            </c:numRef>
          </c:val>
          <c:extLst>
            <c:ext xmlns:c16="http://schemas.microsoft.com/office/drawing/2014/chart" uri="{C3380CC4-5D6E-409C-BE32-E72D297353CC}">
              <c16:uniqueId val="{00000000-DC36-4E32-9311-E0FF6432743A}"/>
            </c:ext>
          </c:extLst>
        </c:ser>
        <c:dLbls>
          <c:showLegendKey val="0"/>
          <c:showVal val="0"/>
          <c:showCatName val="0"/>
          <c:showSerName val="0"/>
          <c:showPercent val="0"/>
          <c:showBubbleSize val="0"/>
        </c:dLbls>
        <c:gapWidth val="150"/>
        <c:axId val="53586767"/>
        <c:axId val="53587247"/>
      </c:barChart>
      <c:catAx>
        <c:axId val="53586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87247"/>
        <c:crosses val="autoZero"/>
        <c:auto val="1"/>
        <c:lblAlgn val="ctr"/>
        <c:lblOffset val="100"/>
        <c:noMultiLvlLbl val="0"/>
      </c:catAx>
      <c:valAx>
        <c:axId val="5358724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5358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[Finance_Messy_Dataset_150Rows.xlsx]CleanData!PivotTable5</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CleanData!$F$4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E-4195-BC82-A127EF9E7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E-4195-BC82-A127EF9E72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9E-4195-BC82-A127EF9E72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CleanData!$E$5:$E$8</c:f>
              <c:strCache>
                <c:ptCount val="3"/>
                <c:pt idx="0">
                  <c:v>Bank Transfer</c:v>
                </c:pt>
                <c:pt idx="1">
                  <c:v>Card</c:v>
                </c:pt>
                <c:pt idx="2">
                  <c:v>Cash</c:v>
                </c:pt>
              </c:strCache>
            </c:strRef>
          </c:cat>
          <c:val>
            <c:numRef>
              <c:f>CleanData!$F$5:$F$8</c:f>
              <c:numCache>
                <c:formatCode>"₱"#,##0</c:formatCode>
                <c:ptCount val="3"/>
                <c:pt idx="0">
                  <c:v>51942512</c:v>
                </c:pt>
                <c:pt idx="1">
                  <c:v>53426396</c:v>
                </c:pt>
                <c:pt idx="2">
                  <c:v>46135844</c:v>
                </c:pt>
              </c:numCache>
            </c:numRef>
          </c:val>
          <c:extLst>
            <c:ext xmlns:c16="http://schemas.microsoft.com/office/drawing/2014/chart" uri="{C3380CC4-5D6E-409C-BE32-E72D297353CC}">
              <c16:uniqueId val="{00000006-639E-4195-BC82-A127EF9E725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1440184731006984"/>
          <c:y val="0.2070022896074161"/>
          <c:w val="0.24188230569539462"/>
          <c:h val="0.35904506617523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[Finance_Messy_Dataset_150Rows.xlsx]CleanData!PivotTable1</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CleanData!$H$5</c:f>
              <c:strCache>
                <c:ptCount val="1"/>
                <c:pt idx="0">
                  <c:v>Revenue Trend</c:v>
                </c:pt>
              </c:strCache>
            </c:strRef>
          </c:tx>
          <c:spPr>
            <a:solidFill>
              <a:schemeClr val="accent1"/>
            </a:solidFill>
            <a:ln>
              <a:noFill/>
            </a:ln>
            <a:effectLst/>
          </c:spPr>
          <c:invertIfNegative val="0"/>
          <c:cat>
            <c:strRef>
              <c:f>CleanData!$G$6:$G$18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CleanData!$H$6:$H$18</c:f>
              <c:numCache>
                <c:formatCode>General</c:formatCode>
                <c:ptCount val="12"/>
                <c:pt idx="0">
                  <c:v>24667649</c:v>
                </c:pt>
                <c:pt idx="1">
                  <c:v>13595181</c:v>
                </c:pt>
                <c:pt idx="2">
                  <c:v>14784439</c:v>
                </c:pt>
                <c:pt idx="3">
                  <c:v>10328511</c:v>
                </c:pt>
                <c:pt idx="4">
                  <c:v>9193785</c:v>
                </c:pt>
                <c:pt idx="5">
                  <c:v>10605530</c:v>
                </c:pt>
                <c:pt idx="6">
                  <c:v>5195421</c:v>
                </c:pt>
                <c:pt idx="7">
                  <c:v>14160019</c:v>
                </c:pt>
                <c:pt idx="8">
                  <c:v>9173809</c:v>
                </c:pt>
                <c:pt idx="9">
                  <c:v>25601519</c:v>
                </c:pt>
                <c:pt idx="10">
                  <c:v>1759184</c:v>
                </c:pt>
                <c:pt idx="11">
                  <c:v>12439705</c:v>
                </c:pt>
              </c:numCache>
            </c:numRef>
          </c:val>
          <c:extLst>
            <c:ext xmlns:c16="http://schemas.microsoft.com/office/drawing/2014/chart" uri="{C3380CC4-5D6E-409C-BE32-E72D297353CC}">
              <c16:uniqueId val="{00000000-D4C7-4993-8921-D4D169558698}"/>
            </c:ext>
          </c:extLst>
        </c:ser>
        <c:dLbls>
          <c:showLegendKey val="0"/>
          <c:showVal val="0"/>
          <c:showCatName val="0"/>
          <c:showSerName val="0"/>
          <c:showPercent val="0"/>
          <c:showBubbleSize val="0"/>
        </c:dLbls>
        <c:gapWidth val="219"/>
        <c:axId val="1669079664"/>
        <c:axId val="1669074384"/>
      </c:barChart>
      <c:lineChart>
        <c:grouping val="standard"/>
        <c:varyColors val="0"/>
        <c:ser>
          <c:idx val="1"/>
          <c:order val="1"/>
          <c:tx>
            <c:strRef>
              <c:f>CleanData!$I$5</c:f>
              <c:strCache>
                <c:ptCount val="1"/>
                <c:pt idx="0">
                  <c:v>Sum of Profit</c:v>
                </c:pt>
              </c:strCache>
            </c:strRef>
          </c:tx>
          <c:spPr>
            <a:ln w="28575" cap="rnd">
              <a:solidFill>
                <a:schemeClr val="accent2"/>
              </a:solidFill>
              <a:round/>
            </a:ln>
            <a:effectLst/>
          </c:spPr>
          <c:marker>
            <c:symbol val="none"/>
          </c:marker>
          <c:cat>
            <c:strRef>
              <c:f>CleanData!$G$6:$G$18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CleanData!$I$6:$I$18</c:f>
              <c:numCache>
                <c:formatCode>General</c:formatCode>
                <c:ptCount val="12"/>
                <c:pt idx="0">
                  <c:v>8218103</c:v>
                </c:pt>
                <c:pt idx="1">
                  <c:v>3378719</c:v>
                </c:pt>
                <c:pt idx="2">
                  <c:v>3511819</c:v>
                </c:pt>
                <c:pt idx="3">
                  <c:v>2203086</c:v>
                </c:pt>
                <c:pt idx="4">
                  <c:v>3058878</c:v>
                </c:pt>
                <c:pt idx="5">
                  <c:v>3453034</c:v>
                </c:pt>
                <c:pt idx="6">
                  <c:v>1308298</c:v>
                </c:pt>
                <c:pt idx="7">
                  <c:v>3531311</c:v>
                </c:pt>
                <c:pt idx="8">
                  <c:v>2789453</c:v>
                </c:pt>
                <c:pt idx="9">
                  <c:v>7513297</c:v>
                </c:pt>
                <c:pt idx="10">
                  <c:v>406585</c:v>
                </c:pt>
                <c:pt idx="11">
                  <c:v>3185053</c:v>
                </c:pt>
              </c:numCache>
            </c:numRef>
          </c:val>
          <c:smooth val="0"/>
          <c:extLst>
            <c:ext xmlns:c16="http://schemas.microsoft.com/office/drawing/2014/chart" uri="{C3380CC4-5D6E-409C-BE32-E72D297353CC}">
              <c16:uniqueId val="{00000001-D4C7-4993-8921-D4D169558698}"/>
            </c:ext>
          </c:extLst>
        </c:ser>
        <c:dLbls>
          <c:showLegendKey val="0"/>
          <c:showVal val="0"/>
          <c:showCatName val="0"/>
          <c:showSerName val="0"/>
          <c:showPercent val="0"/>
          <c:showBubbleSize val="0"/>
        </c:dLbls>
        <c:marker val="1"/>
        <c:smooth val="0"/>
        <c:axId val="1652920656"/>
        <c:axId val="1652916336"/>
      </c:lineChart>
      <c:catAx>
        <c:axId val="1669079664"/>
        <c:scaling>
          <c:orientation val="minMax"/>
        </c:scaling>
        <c:delete val="0"/>
        <c:axPos val="b"/>
        <c:numFmt formatCode="&quot;₱&quot;#,##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074384"/>
        <c:crosses val="autoZero"/>
        <c:auto val="1"/>
        <c:lblAlgn val="ctr"/>
        <c:lblOffset val="100"/>
        <c:noMultiLvlLbl val="0"/>
      </c:catAx>
      <c:valAx>
        <c:axId val="166907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079664"/>
        <c:crosses val="autoZero"/>
        <c:crossBetween val="between"/>
      </c:valAx>
      <c:valAx>
        <c:axId val="1652916336"/>
        <c:scaling>
          <c:orientation val="minMax"/>
        </c:scaling>
        <c:delete val="1"/>
        <c:axPos val="r"/>
        <c:numFmt formatCode="General" sourceLinked="1"/>
        <c:majorTickMark val="out"/>
        <c:minorTickMark val="none"/>
        <c:tickLblPos val="nextTo"/>
        <c:crossAx val="1652920656"/>
        <c:crosses val="max"/>
        <c:crossBetween val="between"/>
      </c:valAx>
      <c:catAx>
        <c:axId val="1652920656"/>
        <c:scaling>
          <c:orientation val="minMax"/>
        </c:scaling>
        <c:delete val="1"/>
        <c:axPos val="b"/>
        <c:numFmt formatCode="General" sourceLinked="1"/>
        <c:majorTickMark val="out"/>
        <c:minorTickMark val="none"/>
        <c:tickLblPos val="nextTo"/>
        <c:crossAx val="16529163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35718</xdr:rowOff>
    </xdr:from>
    <xdr:to>
      <xdr:col>1</xdr:col>
      <xdr:colOff>809625</xdr:colOff>
      <xdr:row>36</xdr:row>
      <xdr:rowOff>35718</xdr:rowOff>
    </xdr:to>
    <xdr:sp macro="" textlink="">
      <xdr:nvSpPr>
        <xdr:cNvPr id="3" name="Rectangle: Rounded Corners 2">
          <a:extLst>
            <a:ext uri="{FF2B5EF4-FFF2-40B4-BE49-F238E27FC236}">
              <a16:creationId xmlns:a16="http://schemas.microsoft.com/office/drawing/2014/main" id="{A9CF13A9-4A99-B5AB-7B0D-ECF7994571D4}"/>
            </a:ext>
          </a:extLst>
        </xdr:cNvPr>
        <xdr:cNvSpPr/>
      </xdr:nvSpPr>
      <xdr:spPr>
        <a:xfrm>
          <a:off x="0" y="35718"/>
          <a:ext cx="1654969" cy="7393781"/>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3"/>
              </a:solidFill>
            </a:rPr>
            <a:t>FINANCIAL</a:t>
          </a:r>
        </a:p>
        <a:p>
          <a:pPr algn="ctr"/>
          <a:r>
            <a:rPr lang="en-US" sz="1600" b="1">
              <a:solidFill>
                <a:schemeClr val="accent3"/>
              </a:solidFill>
            </a:rPr>
            <a:t>PERFORMACE</a:t>
          </a:r>
        </a:p>
        <a:p>
          <a:pPr algn="ctr"/>
          <a:r>
            <a:rPr lang="en-US" sz="1600" b="1">
              <a:solidFill>
                <a:schemeClr val="accent3"/>
              </a:solidFill>
            </a:rPr>
            <a:t>DASHBOARD</a:t>
          </a:r>
        </a:p>
      </xdr:txBody>
    </xdr:sp>
    <xdr:clientData/>
  </xdr:twoCellAnchor>
  <xdr:twoCellAnchor>
    <xdr:from>
      <xdr:col>2</xdr:col>
      <xdr:colOff>28574</xdr:colOff>
      <xdr:row>3</xdr:row>
      <xdr:rowOff>26195</xdr:rowOff>
    </xdr:from>
    <xdr:to>
      <xdr:col>5</xdr:col>
      <xdr:colOff>38099</xdr:colOff>
      <xdr:row>6</xdr:row>
      <xdr:rowOff>178595</xdr:rowOff>
    </xdr:to>
    <xdr:sp macro="" textlink="">
      <xdr:nvSpPr>
        <xdr:cNvPr id="4" name="Rectangle: Rounded Corners 3">
          <a:extLst>
            <a:ext uri="{FF2B5EF4-FFF2-40B4-BE49-F238E27FC236}">
              <a16:creationId xmlns:a16="http://schemas.microsoft.com/office/drawing/2014/main" id="{AC8866FE-2837-FB9D-436B-830BC2CF04AA}"/>
            </a:ext>
          </a:extLst>
        </xdr:cNvPr>
        <xdr:cNvSpPr/>
      </xdr:nvSpPr>
      <xdr:spPr>
        <a:xfrm>
          <a:off x="1719262" y="716758"/>
          <a:ext cx="1985962" cy="723900"/>
        </a:xfrm>
        <a:prstGeom prst="roundRect">
          <a:avLst/>
        </a:prstGeom>
        <a:noFill/>
        <a:ln w="3175"/>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ctr"/>
          <a:r>
            <a:rPr lang="en-US" sz="1100"/>
            <a:t>₱151,504,752</a:t>
          </a:r>
        </a:p>
      </xdr:txBody>
    </xdr:sp>
    <xdr:clientData/>
  </xdr:twoCellAnchor>
  <xdr:twoCellAnchor>
    <xdr:from>
      <xdr:col>2</xdr:col>
      <xdr:colOff>388144</xdr:colOff>
      <xdr:row>3</xdr:row>
      <xdr:rowOff>121444</xdr:rowOff>
    </xdr:from>
    <xdr:to>
      <xdr:col>4</xdr:col>
      <xdr:colOff>216694</xdr:colOff>
      <xdr:row>5</xdr:row>
      <xdr:rowOff>7144</xdr:rowOff>
    </xdr:to>
    <xdr:sp macro="" textlink="">
      <xdr:nvSpPr>
        <xdr:cNvPr id="6" name="TextBox 5">
          <a:extLst>
            <a:ext uri="{FF2B5EF4-FFF2-40B4-BE49-F238E27FC236}">
              <a16:creationId xmlns:a16="http://schemas.microsoft.com/office/drawing/2014/main" id="{98FB5016-D8B0-17D9-DC6C-88188226A4B7}"/>
            </a:ext>
          </a:extLst>
        </xdr:cNvPr>
        <xdr:cNvSpPr txBox="1"/>
      </xdr:nvSpPr>
      <xdr:spPr>
        <a:xfrm>
          <a:off x="2078832" y="812007"/>
          <a:ext cx="10548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accent3">
                  <a:lumMod val="50000"/>
                </a:schemeClr>
              </a:solidFill>
            </a:rPr>
            <a:t>TOTAL</a:t>
          </a:r>
          <a:r>
            <a:rPr lang="en-US" sz="900" b="1" baseline="0">
              <a:solidFill>
                <a:schemeClr val="accent3">
                  <a:lumMod val="50000"/>
                </a:schemeClr>
              </a:solidFill>
            </a:rPr>
            <a:t> REVENUE</a:t>
          </a:r>
          <a:endParaRPr lang="en-US" sz="900" b="1">
            <a:solidFill>
              <a:schemeClr val="accent3">
                <a:lumMod val="50000"/>
              </a:schemeClr>
            </a:solidFill>
          </a:endParaRPr>
        </a:p>
      </xdr:txBody>
    </xdr:sp>
    <xdr:clientData/>
  </xdr:twoCellAnchor>
  <xdr:twoCellAnchor>
    <xdr:from>
      <xdr:col>5</xdr:col>
      <xdr:colOff>180974</xdr:colOff>
      <xdr:row>3</xdr:row>
      <xdr:rowOff>26195</xdr:rowOff>
    </xdr:from>
    <xdr:to>
      <xdr:col>8</xdr:col>
      <xdr:colOff>190499</xdr:colOff>
      <xdr:row>6</xdr:row>
      <xdr:rowOff>178595</xdr:rowOff>
    </xdr:to>
    <xdr:sp macro="" textlink="">
      <xdr:nvSpPr>
        <xdr:cNvPr id="8" name="Rectangle: Rounded Corners 7">
          <a:extLst>
            <a:ext uri="{FF2B5EF4-FFF2-40B4-BE49-F238E27FC236}">
              <a16:creationId xmlns:a16="http://schemas.microsoft.com/office/drawing/2014/main" id="{CEFF8BF2-9CA9-4F9E-12B0-CF684BDDE6EF}"/>
            </a:ext>
          </a:extLst>
        </xdr:cNvPr>
        <xdr:cNvSpPr/>
      </xdr:nvSpPr>
      <xdr:spPr>
        <a:xfrm>
          <a:off x="3848099" y="716758"/>
          <a:ext cx="1866900" cy="723900"/>
        </a:xfrm>
        <a:prstGeom prst="roundRect">
          <a:avLst/>
        </a:prstGeom>
        <a:noFill/>
        <a:ln w="3175"/>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US" sz="1100"/>
            <a:t>dsad</a:t>
          </a:r>
        </a:p>
      </xdr:txBody>
    </xdr:sp>
    <xdr:clientData/>
  </xdr:twoCellAnchor>
  <xdr:twoCellAnchor>
    <xdr:from>
      <xdr:col>14</xdr:col>
      <xdr:colOff>85726</xdr:colOff>
      <xdr:row>3</xdr:row>
      <xdr:rowOff>26195</xdr:rowOff>
    </xdr:from>
    <xdr:to>
      <xdr:col>17</xdr:col>
      <xdr:colOff>95251</xdr:colOff>
      <xdr:row>6</xdr:row>
      <xdr:rowOff>178595</xdr:rowOff>
    </xdr:to>
    <xdr:sp macro="" textlink="">
      <xdr:nvSpPr>
        <xdr:cNvPr id="10" name="Rectangle: Rounded Corners 9">
          <a:extLst>
            <a:ext uri="{FF2B5EF4-FFF2-40B4-BE49-F238E27FC236}">
              <a16:creationId xmlns:a16="http://schemas.microsoft.com/office/drawing/2014/main" id="{0FDC00BB-7B51-4823-89BD-4148A4962DB8}"/>
            </a:ext>
          </a:extLst>
        </xdr:cNvPr>
        <xdr:cNvSpPr/>
      </xdr:nvSpPr>
      <xdr:spPr>
        <a:xfrm>
          <a:off x="10527507" y="716758"/>
          <a:ext cx="1831182" cy="723900"/>
        </a:xfrm>
        <a:prstGeom prst="roundRect">
          <a:avLst/>
        </a:prstGeom>
        <a:pattFill prst="pct5">
          <a:fgClr>
            <a:schemeClr val="lt1"/>
          </a:fgClr>
          <a:bgClr>
            <a:schemeClr val="bg1"/>
          </a:bgClr>
        </a:pattFill>
        <a:ln w="3175"/>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US" sz="1100"/>
            <a:t>dsad</a:t>
          </a:r>
        </a:p>
      </xdr:txBody>
    </xdr:sp>
    <xdr:clientData/>
  </xdr:twoCellAnchor>
  <xdr:twoCellAnchor>
    <xdr:from>
      <xdr:col>11</xdr:col>
      <xdr:colOff>38103</xdr:colOff>
      <xdr:row>3</xdr:row>
      <xdr:rowOff>26195</xdr:rowOff>
    </xdr:from>
    <xdr:to>
      <xdr:col>13</xdr:col>
      <xdr:colOff>283371</xdr:colOff>
      <xdr:row>6</xdr:row>
      <xdr:rowOff>178595</xdr:rowOff>
    </xdr:to>
    <xdr:sp macro="" textlink="">
      <xdr:nvSpPr>
        <xdr:cNvPr id="11" name="Rectangle: Rounded Corners 10">
          <a:extLst>
            <a:ext uri="{FF2B5EF4-FFF2-40B4-BE49-F238E27FC236}">
              <a16:creationId xmlns:a16="http://schemas.microsoft.com/office/drawing/2014/main" id="{98E3DAAF-34FE-41DC-AC47-A3D490D387AA}"/>
            </a:ext>
          </a:extLst>
        </xdr:cNvPr>
        <xdr:cNvSpPr/>
      </xdr:nvSpPr>
      <xdr:spPr>
        <a:xfrm>
          <a:off x="8289134" y="716758"/>
          <a:ext cx="1828800" cy="723900"/>
        </a:xfrm>
        <a:prstGeom prst="roundRect">
          <a:avLst/>
        </a:prstGeom>
        <a:noFill/>
        <a:ln w="3175"/>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US" sz="1100"/>
            <a:t>dsad</a:t>
          </a:r>
        </a:p>
      </xdr:txBody>
    </xdr:sp>
    <xdr:clientData/>
  </xdr:twoCellAnchor>
  <xdr:twoCellAnchor>
    <xdr:from>
      <xdr:col>2</xdr:col>
      <xdr:colOff>254795</xdr:colOff>
      <xdr:row>4</xdr:row>
      <xdr:rowOff>152400</xdr:rowOff>
    </xdr:from>
    <xdr:to>
      <xdr:col>4</xdr:col>
      <xdr:colOff>340520</xdr:colOff>
      <xdr:row>6</xdr:row>
      <xdr:rowOff>47625</xdr:rowOff>
    </xdr:to>
    <xdr:sp macro="" textlink="CleanData!A2">
      <xdr:nvSpPr>
        <xdr:cNvPr id="15" name="TextBox 14">
          <a:extLst>
            <a:ext uri="{FF2B5EF4-FFF2-40B4-BE49-F238E27FC236}">
              <a16:creationId xmlns:a16="http://schemas.microsoft.com/office/drawing/2014/main" id="{66D354D4-CD1A-7FD6-74BA-5C3B2087F615}"/>
            </a:ext>
          </a:extLst>
        </xdr:cNvPr>
        <xdr:cNvSpPr txBox="1"/>
      </xdr:nvSpPr>
      <xdr:spPr>
        <a:xfrm>
          <a:off x="1945483" y="1033463"/>
          <a:ext cx="131206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91875-A5BF-4BB5-8903-B271FD2BBC6D}" type="TxLink">
            <a:rPr lang="en-US" sz="1100" b="1" i="0" u="none" strike="noStrike">
              <a:solidFill>
                <a:schemeClr val="accent3">
                  <a:lumMod val="50000"/>
                </a:schemeClr>
              </a:solidFill>
              <a:latin typeface="Calibri"/>
              <a:cs typeface="Calibri"/>
            </a:rPr>
            <a:pPr algn="ctr"/>
            <a:t>₱151,504,752</a:t>
          </a:fld>
          <a:endParaRPr lang="en-US" sz="1100" b="1">
            <a:solidFill>
              <a:schemeClr val="accent3">
                <a:lumMod val="50000"/>
              </a:schemeClr>
            </a:solidFill>
          </a:endParaRPr>
        </a:p>
      </xdr:txBody>
    </xdr:sp>
    <xdr:clientData/>
  </xdr:twoCellAnchor>
  <xdr:twoCellAnchor>
    <xdr:from>
      <xdr:col>5</xdr:col>
      <xdr:colOff>476249</xdr:colOff>
      <xdr:row>4</xdr:row>
      <xdr:rowOff>152400</xdr:rowOff>
    </xdr:from>
    <xdr:to>
      <xdr:col>7</xdr:col>
      <xdr:colOff>561974</xdr:colOff>
      <xdr:row>6</xdr:row>
      <xdr:rowOff>47625</xdr:rowOff>
    </xdr:to>
    <xdr:sp macro="" textlink="CleanData!B2">
      <xdr:nvSpPr>
        <xdr:cNvPr id="16" name="TextBox 15">
          <a:extLst>
            <a:ext uri="{FF2B5EF4-FFF2-40B4-BE49-F238E27FC236}">
              <a16:creationId xmlns:a16="http://schemas.microsoft.com/office/drawing/2014/main" id="{EC903FF9-BB9F-45E3-8BA7-97FAEA7512BF}"/>
            </a:ext>
          </a:extLst>
        </xdr:cNvPr>
        <xdr:cNvSpPr txBox="1"/>
      </xdr:nvSpPr>
      <xdr:spPr>
        <a:xfrm>
          <a:off x="4143374" y="1033463"/>
          <a:ext cx="133588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B94F06-036A-4E43-8546-492A5EE9CFC9}" type="TxLink">
            <a:rPr lang="en-US" sz="1100" b="1" i="0" u="none" strike="noStrike">
              <a:solidFill>
                <a:schemeClr val="accent1"/>
              </a:solidFill>
              <a:latin typeface="Calibri"/>
              <a:cs typeface="Calibri"/>
            </a:rPr>
            <a:pPr algn="ctr"/>
            <a:t>₱42,557,636</a:t>
          </a:fld>
          <a:endParaRPr lang="en-US" sz="1100" b="1" i="0" u="none" strike="noStrike">
            <a:solidFill>
              <a:schemeClr val="accent1"/>
            </a:solidFill>
            <a:latin typeface="Calibri"/>
            <a:cs typeface="Calibri"/>
          </a:endParaRPr>
        </a:p>
      </xdr:txBody>
    </xdr:sp>
    <xdr:clientData/>
  </xdr:twoCellAnchor>
  <xdr:twoCellAnchor>
    <xdr:from>
      <xdr:col>5</xdr:col>
      <xdr:colOff>902495</xdr:colOff>
      <xdr:row>3</xdr:row>
      <xdr:rowOff>85725</xdr:rowOff>
    </xdr:from>
    <xdr:to>
      <xdr:col>7</xdr:col>
      <xdr:colOff>245270</xdr:colOff>
      <xdr:row>4</xdr:row>
      <xdr:rowOff>142875</xdr:rowOff>
    </xdr:to>
    <xdr:sp macro="" textlink="">
      <xdr:nvSpPr>
        <xdr:cNvPr id="17" name="TextBox 16">
          <a:extLst>
            <a:ext uri="{FF2B5EF4-FFF2-40B4-BE49-F238E27FC236}">
              <a16:creationId xmlns:a16="http://schemas.microsoft.com/office/drawing/2014/main" id="{7A700D63-84C9-4CC7-9DFC-FCA6D9024573}"/>
            </a:ext>
          </a:extLst>
        </xdr:cNvPr>
        <xdr:cNvSpPr txBox="1"/>
      </xdr:nvSpPr>
      <xdr:spPr>
        <a:xfrm>
          <a:off x="4652964" y="776288"/>
          <a:ext cx="104536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accent1"/>
              </a:solidFill>
            </a:rPr>
            <a:t>TOTAL</a:t>
          </a:r>
          <a:r>
            <a:rPr lang="en-US" sz="900" b="1" baseline="0">
              <a:solidFill>
                <a:schemeClr val="accent1"/>
              </a:solidFill>
            </a:rPr>
            <a:t> PROFIT</a:t>
          </a:r>
          <a:endParaRPr lang="en-US" sz="900" b="1">
            <a:solidFill>
              <a:schemeClr val="accent1"/>
            </a:solidFill>
          </a:endParaRPr>
        </a:p>
      </xdr:txBody>
    </xdr:sp>
    <xdr:clientData/>
  </xdr:twoCellAnchor>
  <xdr:twoCellAnchor>
    <xdr:from>
      <xdr:col>9</xdr:col>
      <xdr:colOff>176210</xdr:colOff>
      <xdr:row>3</xdr:row>
      <xdr:rowOff>85725</xdr:rowOff>
    </xdr:from>
    <xdr:to>
      <xdr:col>10</xdr:col>
      <xdr:colOff>614360</xdr:colOff>
      <xdr:row>4</xdr:row>
      <xdr:rowOff>161925</xdr:rowOff>
    </xdr:to>
    <xdr:sp macro="" textlink="">
      <xdr:nvSpPr>
        <xdr:cNvPr id="21" name="TextBox 20">
          <a:extLst>
            <a:ext uri="{FF2B5EF4-FFF2-40B4-BE49-F238E27FC236}">
              <a16:creationId xmlns:a16="http://schemas.microsoft.com/office/drawing/2014/main" id="{3CCAE6E2-EA53-4FAC-902D-3616D7925642}"/>
            </a:ext>
          </a:extLst>
        </xdr:cNvPr>
        <xdr:cNvSpPr txBox="1"/>
      </xdr:nvSpPr>
      <xdr:spPr>
        <a:xfrm>
          <a:off x="6307929" y="776288"/>
          <a:ext cx="133111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accent6">
                  <a:lumMod val="75000"/>
                </a:schemeClr>
              </a:solidFill>
            </a:rPr>
            <a:t>PROFIT</a:t>
          </a:r>
          <a:r>
            <a:rPr lang="en-US" sz="900" b="1" baseline="0">
              <a:solidFill>
                <a:schemeClr val="accent6">
                  <a:lumMod val="75000"/>
                </a:schemeClr>
              </a:solidFill>
            </a:rPr>
            <a:t> MARGIN</a:t>
          </a:r>
          <a:endParaRPr lang="en-US" sz="900" b="1">
            <a:solidFill>
              <a:schemeClr val="accent6">
                <a:lumMod val="75000"/>
              </a:schemeClr>
            </a:solidFill>
          </a:endParaRPr>
        </a:p>
      </xdr:txBody>
    </xdr:sp>
    <xdr:clientData/>
  </xdr:twoCellAnchor>
  <xdr:twoCellAnchor>
    <xdr:from>
      <xdr:col>8</xdr:col>
      <xdr:colOff>319093</xdr:colOff>
      <xdr:row>4</xdr:row>
      <xdr:rowOff>152400</xdr:rowOff>
    </xdr:from>
    <xdr:to>
      <xdr:col>10</xdr:col>
      <xdr:colOff>1023942</xdr:colOff>
      <xdr:row>6</xdr:row>
      <xdr:rowOff>47625</xdr:rowOff>
    </xdr:to>
    <xdr:sp macro="" textlink="CleanData!D2">
      <xdr:nvSpPr>
        <xdr:cNvPr id="22" name="TextBox 21">
          <a:extLst>
            <a:ext uri="{FF2B5EF4-FFF2-40B4-BE49-F238E27FC236}">
              <a16:creationId xmlns:a16="http://schemas.microsoft.com/office/drawing/2014/main" id="{0133C94A-2316-4F6C-9FFC-7FB5950F6859}"/>
            </a:ext>
          </a:extLst>
        </xdr:cNvPr>
        <xdr:cNvSpPr txBox="1"/>
      </xdr:nvSpPr>
      <xdr:spPr>
        <a:xfrm>
          <a:off x="5843593" y="1033463"/>
          <a:ext cx="2205037"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F75C61-A3B7-48EB-8CAB-B8A844D7C12B}" type="TxLink">
            <a:rPr lang="en-US" sz="1100" b="1" i="0" u="none" strike="noStrike">
              <a:solidFill>
                <a:schemeClr val="accent6">
                  <a:lumMod val="75000"/>
                </a:schemeClr>
              </a:solidFill>
              <a:latin typeface="Calibri"/>
              <a:cs typeface="Calibri"/>
            </a:rPr>
            <a:pPr algn="ctr"/>
            <a:t>28%</a:t>
          </a:fld>
          <a:endParaRPr lang="en-US" sz="1100" b="1">
            <a:solidFill>
              <a:schemeClr val="accent6">
                <a:lumMod val="75000"/>
              </a:schemeClr>
            </a:solidFill>
          </a:endParaRPr>
        </a:p>
      </xdr:txBody>
    </xdr:sp>
    <xdr:clientData/>
  </xdr:twoCellAnchor>
  <xdr:twoCellAnchor>
    <xdr:from>
      <xdr:col>11</xdr:col>
      <xdr:colOff>209548</xdr:colOff>
      <xdr:row>4</xdr:row>
      <xdr:rowOff>152400</xdr:rowOff>
    </xdr:from>
    <xdr:to>
      <xdr:col>12</xdr:col>
      <xdr:colOff>531017</xdr:colOff>
      <xdr:row>6</xdr:row>
      <xdr:rowOff>47625</xdr:rowOff>
    </xdr:to>
    <xdr:sp macro="" textlink="CleanData!E2">
      <xdr:nvSpPr>
        <xdr:cNvPr id="23" name="TextBox 22">
          <a:extLst>
            <a:ext uri="{FF2B5EF4-FFF2-40B4-BE49-F238E27FC236}">
              <a16:creationId xmlns:a16="http://schemas.microsoft.com/office/drawing/2014/main" id="{020F3F7C-8964-46EA-B4D6-B8FD2A6D8004}"/>
            </a:ext>
          </a:extLst>
        </xdr:cNvPr>
        <xdr:cNvSpPr txBox="1"/>
      </xdr:nvSpPr>
      <xdr:spPr>
        <a:xfrm>
          <a:off x="8460579" y="1033463"/>
          <a:ext cx="129778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068627-88E0-4AC8-9D58-55DBAB35F291}" type="TxLink">
            <a:rPr lang="en-US" sz="1100" b="1" i="0" u="none" strike="noStrike">
              <a:solidFill>
                <a:srgbClr val="7030A0"/>
              </a:solidFill>
              <a:latin typeface="Calibri"/>
              <a:cs typeface="Calibri"/>
            </a:rPr>
            <a:pPr algn="ctr"/>
            <a:t>132</a:t>
          </a:fld>
          <a:endParaRPr lang="en-US" sz="1100" b="1">
            <a:solidFill>
              <a:srgbClr val="7030A0"/>
            </a:solidFill>
          </a:endParaRPr>
        </a:p>
      </xdr:txBody>
    </xdr:sp>
    <xdr:clientData/>
  </xdr:twoCellAnchor>
  <xdr:twoCellAnchor>
    <xdr:from>
      <xdr:col>11</xdr:col>
      <xdr:colOff>323847</xdr:colOff>
      <xdr:row>3</xdr:row>
      <xdr:rowOff>97632</xdr:rowOff>
    </xdr:from>
    <xdr:to>
      <xdr:col>12</xdr:col>
      <xdr:colOff>388141</xdr:colOff>
      <xdr:row>4</xdr:row>
      <xdr:rowOff>173832</xdr:rowOff>
    </xdr:to>
    <xdr:sp macro="" textlink="">
      <xdr:nvSpPr>
        <xdr:cNvPr id="25" name="TextBox 24">
          <a:extLst>
            <a:ext uri="{FF2B5EF4-FFF2-40B4-BE49-F238E27FC236}">
              <a16:creationId xmlns:a16="http://schemas.microsoft.com/office/drawing/2014/main" id="{7C58CD6C-63DE-48F7-A5A3-0A4C92AE170E}"/>
            </a:ext>
          </a:extLst>
        </xdr:cNvPr>
        <xdr:cNvSpPr txBox="1"/>
      </xdr:nvSpPr>
      <xdr:spPr>
        <a:xfrm>
          <a:off x="8574878" y="788195"/>
          <a:ext cx="104060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baseline="0">
              <a:solidFill>
                <a:srgbClr val="7030A0"/>
              </a:solidFill>
            </a:rPr>
            <a:t> TRANSACTION</a:t>
          </a:r>
          <a:endParaRPr lang="en-US" sz="900" b="1">
            <a:solidFill>
              <a:srgbClr val="7030A0"/>
            </a:solidFill>
          </a:endParaRPr>
        </a:p>
      </xdr:txBody>
    </xdr:sp>
    <xdr:clientData/>
  </xdr:twoCellAnchor>
  <xdr:twoCellAnchor>
    <xdr:from>
      <xdr:col>14</xdr:col>
      <xdr:colOff>454820</xdr:colOff>
      <xdr:row>3</xdr:row>
      <xdr:rowOff>85725</xdr:rowOff>
    </xdr:from>
    <xdr:to>
      <xdr:col>16</xdr:col>
      <xdr:colOff>285751</xdr:colOff>
      <xdr:row>4</xdr:row>
      <xdr:rowOff>161925</xdr:rowOff>
    </xdr:to>
    <xdr:sp macro="" textlink="">
      <xdr:nvSpPr>
        <xdr:cNvPr id="26" name="TextBox 25">
          <a:extLst>
            <a:ext uri="{FF2B5EF4-FFF2-40B4-BE49-F238E27FC236}">
              <a16:creationId xmlns:a16="http://schemas.microsoft.com/office/drawing/2014/main" id="{DA655E0C-3DAA-446B-9C56-EEEE1DB06C7D}"/>
            </a:ext>
          </a:extLst>
        </xdr:cNvPr>
        <xdr:cNvSpPr txBox="1"/>
      </xdr:nvSpPr>
      <xdr:spPr>
        <a:xfrm>
          <a:off x="10896601" y="776288"/>
          <a:ext cx="104536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accent5">
                  <a:lumMod val="75000"/>
                </a:schemeClr>
              </a:solidFill>
            </a:rPr>
            <a:t>AVG DEAL</a:t>
          </a:r>
          <a:r>
            <a:rPr lang="en-US" sz="900" b="1" baseline="0">
              <a:solidFill>
                <a:schemeClr val="accent5">
                  <a:lumMod val="75000"/>
                </a:schemeClr>
              </a:solidFill>
            </a:rPr>
            <a:t> SIZE</a:t>
          </a:r>
          <a:endParaRPr lang="en-US" sz="900" b="1">
            <a:solidFill>
              <a:schemeClr val="accent5">
                <a:lumMod val="75000"/>
              </a:schemeClr>
            </a:solidFill>
          </a:endParaRPr>
        </a:p>
      </xdr:txBody>
    </xdr:sp>
    <xdr:clientData/>
  </xdr:twoCellAnchor>
  <xdr:twoCellAnchor>
    <xdr:from>
      <xdr:col>14</xdr:col>
      <xdr:colOff>314326</xdr:colOff>
      <xdr:row>4</xdr:row>
      <xdr:rowOff>152400</xdr:rowOff>
    </xdr:from>
    <xdr:to>
      <xdr:col>16</xdr:col>
      <xdr:colOff>400051</xdr:colOff>
      <xdr:row>6</xdr:row>
      <xdr:rowOff>47625</xdr:rowOff>
    </xdr:to>
    <xdr:sp macro="" textlink="CleanData!F2">
      <xdr:nvSpPr>
        <xdr:cNvPr id="27" name="TextBox 26">
          <a:extLst>
            <a:ext uri="{FF2B5EF4-FFF2-40B4-BE49-F238E27FC236}">
              <a16:creationId xmlns:a16="http://schemas.microsoft.com/office/drawing/2014/main" id="{89EE4E0F-3C12-4C09-9E8C-1CC741F23DF5}"/>
            </a:ext>
          </a:extLst>
        </xdr:cNvPr>
        <xdr:cNvSpPr txBox="1"/>
      </xdr:nvSpPr>
      <xdr:spPr>
        <a:xfrm>
          <a:off x="10756107" y="1033463"/>
          <a:ext cx="130016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0D78BA-3DF3-41AA-8069-12E200765168}" type="TxLink">
            <a:rPr lang="en-US" sz="1100" b="1" i="0" u="none" strike="noStrike">
              <a:solidFill>
                <a:schemeClr val="accent5">
                  <a:lumMod val="75000"/>
                </a:schemeClr>
              </a:solidFill>
              <a:latin typeface="Calibri"/>
              <a:cs typeface="Calibri"/>
            </a:rPr>
            <a:pPr algn="ctr"/>
            <a:t>₱1,147,763</a:t>
          </a:fld>
          <a:endParaRPr lang="en-US" sz="1100" b="1">
            <a:solidFill>
              <a:schemeClr val="accent5">
                <a:lumMod val="75000"/>
              </a:schemeClr>
            </a:solidFill>
          </a:endParaRPr>
        </a:p>
      </xdr:txBody>
    </xdr:sp>
    <xdr:clientData/>
  </xdr:twoCellAnchor>
  <xdr:twoCellAnchor>
    <xdr:from>
      <xdr:col>2</xdr:col>
      <xdr:colOff>19050</xdr:colOff>
      <xdr:row>7</xdr:row>
      <xdr:rowOff>161925</xdr:rowOff>
    </xdr:from>
    <xdr:to>
      <xdr:col>7</xdr:col>
      <xdr:colOff>295275</xdr:colOff>
      <xdr:row>19</xdr:row>
      <xdr:rowOff>9525</xdr:rowOff>
    </xdr:to>
    <xdr:sp macro="" textlink="">
      <xdr:nvSpPr>
        <xdr:cNvPr id="28" name="Rectangle: Rounded Corners 27">
          <a:extLst>
            <a:ext uri="{FF2B5EF4-FFF2-40B4-BE49-F238E27FC236}">
              <a16:creationId xmlns:a16="http://schemas.microsoft.com/office/drawing/2014/main" id="{71047076-3DE7-9F8F-20A1-BB0FB742D4BF}"/>
            </a:ext>
          </a:extLst>
        </xdr:cNvPr>
        <xdr:cNvSpPr/>
      </xdr:nvSpPr>
      <xdr:spPr>
        <a:xfrm>
          <a:off x="1714500" y="1609725"/>
          <a:ext cx="3324225" cy="2133600"/>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247649</xdr:colOff>
      <xdr:row>9</xdr:row>
      <xdr:rowOff>47625</xdr:rowOff>
    </xdr:from>
    <xdr:to>
      <xdr:col>6</xdr:col>
      <xdr:colOff>542924</xdr:colOff>
      <xdr:row>18</xdr:row>
      <xdr:rowOff>85726</xdr:rowOff>
    </xdr:to>
    <xdr:graphicFrame macro="">
      <xdr:nvGraphicFramePr>
        <xdr:cNvPr id="29" name="Chart 28">
          <a:extLst>
            <a:ext uri="{FF2B5EF4-FFF2-40B4-BE49-F238E27FC236}">
              <a16:creationId xmlns:a16="http://schemas.microsoft.com/office/drawing/2014/main" id="{E5CF1859-8C91-4A03-9FD5-9AECA13CB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466725</xdr:colOff>
      <xdr:row>7</xdr:row>
      <xdr:rowOff>161925</xdr:rowOff>
    </xdr:from>
    <xdr:to>
      <xdr:col>12</xdr:col>
      <xdr:colOff>371475</xdr:colOff>
      <xdr:row>19</xdr:row>
      <xdr:rowOff>0</xdr:rowOff>
    </xdr:to>
    <xdr:sp macro="" textlink="">
      <xdr:nvSpPr>
        <xdr:cNvPr id="30" name="Rectangle: Rounded Corners 29">
          <a:extLst>
            <a:ext uri="{FF2B5EF4-FFF2-40B4-BE49-F238E27FC236}">
              <a16:creationId xmlns:a16="http://schemas.microsoft.com/office/drawing/2014/main" id="{6CD15C60-D06D-4603-A407-BDB077F61AE0}"/>
            </a:ext>
          </a:extLst>
        </xdr:cNvPr>
        <xdr:cNvSpPr/>
      </xdr:nvSpPr>
      <xdr:spPr>
        <a:xfrm>
          <a:off x="5210175" y="1609725"/>
          <a:ext cx="3324225" cy="2124075"/>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152400</xdr:colOff>
      <xdr:row>9</xdr:row>
      <xdr:rowOff>76200</xdr:rowOff>
    </xdr:from>
    <xdr:to>
      <xdr:col>12</xdr:col>
      <xdr:colOff>38099</xdr:colOff>
      <xdr:row>18</xdr:row>
      <xdr:rowOff>152399</xdr:rowOff>
    </xdr:to>
    <xdr:graphicFrame macro="">
      <xdr:nvGraphicFramePr>
        <xdr:cNvPr id="31" name="Chart 30">
          <a:extLst>
            <a:ext uri="{FF2B5EF4-FFF2-40B4-BE49-F238E27FC236}">
              <a16:creationId xmlns:a16="http://schemas.microsoft.com/office/drawing/2014/main" id="{11545BC7-7B8C-4B09-A35A-928D1D6D2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523875</xdr:colOff>
      <xdr:row>8</xdr:row>
      <xdr:rowOff>0</xdr:rowOff>
    </xdr:from>
    <xdr:to>
      <xdr:col>18</xdr:col>
      <xdr:colOff>190500</xdr:colOff>
      <xdr:row>19</xdr:row>
      <xdr:rowOff>28575</xdr:rowOff>
    </xdr:to>
    <xdr:sp macro="" textlink="">
      <xdr:nvSpPr>
        <xdr:cNvPr id="33" name="Rectangle: Rounded Corners 32">
          <a:extLst>
            <a:ext uri="{FF2B5EF4-FFF2-40B4-BE49-F238E27FC236}">
              <a16:creationId xmlns:a16="http://schemas.microsoft.com/office/drawing/2014/main" id="{11524344-586C-4D96-B31E-B1EBBAAE94D8}"/>
            </a:ext>
          </a:extLst>
        </xdr:cNvPr>
        <xdr:cNvSpPr/>
      </xdr:nvSpPr>
      <xdr:spPr>
        <a:xfrm>
          <a:off x="8686800" y="1638300"/>
          <a:ext cx="3324225" cy="2124075"/>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323850</xdr:colOff>
      <xdr:row>9</xdr:row>
      <xdr:rowOff>0</xdr:rowOff>
    </xdr:from>
    <xdr:to>
      <xdr:col>18</xdr:col>
      <xdr:colOff>152400</xdr:colOff>
      <xdr:row>18</xdr:row>
      <xdr:rowOff>76200</xdr:rowOff>
    </xdr:to>
    <xdr:graphicFrame macro="">
      <xdr:nvGraphicFramePr>
        <xdr:cNvPr id="34" name="Chart 33">
          <a:extLst>
            <a:ext uri="{FF2B5EF4-FFF2-40B4-BE49-F238E27FC236}">
              <a16:creationId xmlns:a16="http://schemas.microsoft.com/office/drawing/2014/main" id="{10B3EA83-DDF5-433A-BB7C-625DE50E4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xdr:colOff>
      <xdr:row>14</xdr:row>
      <xdr:rowOff>152400</xdr:rowOff>
    </xdr:from>
    <xdr:to>
      <xdr:col>18</xdr:col>
      <xdr:colOff>171450</xdr:colOff>
      <xdr:row>16</xdr:row>
      <xdr:rowOff>47625</xdr:rowOff>
    </xdr:to>
    <xdr:sp macro="" textlink="CleanData!A2">
      <xdr:nvSpPr>
        <xdr:cNvPr id="36" name="TextBox 35">
          <a:extLst>
            <a:ext uri="{FF2B5EF4-FFF2-40B4-BE49-F238E27FC236}">
              <a16:creationId xmlns:a16="http://schemas.microsoft.com/office/drawing/2014/main" id="{A0F679EC-A235-490C-8709-528E6852CA15}"/>
            </a:ext>
          </a:extLst>
        </xdr:cNvPr>
        <xdr:cNvSpPr txBox="1"/>
      </xdr:nvSpPr>
      <xdr:spPr>
        <a:xfrm>
          <a:off x="10687050" y="2933700"/>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91875-A5BF-4BB5-8903-B271FD2BBC6D}" type="TxLink">
            <a:rPr lang="en-US" sz="1100" b="1" i="0" u="none" strike="noStrike">
              <a:solidFill>
                <a:schemeClr val="accent3">
                  <a:lumMod val="50000"/>
                </a:schemeClr>
              </a:solidFill>
              <a:latin typeface="Calibri"/>
              <a:cs typeface="Calibri"/>
            </a:rPr>
            <a:pPr algn="ctr"/>
            <a:t>₱151,504,752</a:t>
          </a:fld>
          <a:endParaRPr lang="en-US" sz="1100" b="1">
            <a:solidFill>
              <a:schemeClr val="accent3">
                <a:lumMod val="50000"/>
              </a:schemeClr>
            </a:solidFill>
          </a:endParaRPr>
        </a:p>
      </xdr:txBody>
    </xdr:sp>
    <xdr:clientData/>
  </xdr:twoCellAnchor>
  <xdr:twoCellAnchor editAs="oneCell">
    <xdr:from>
      <xdr:col>0</xdr:col>
      <xdr:colOff>28575</xdr:colOff>
      <xdr:row>4</xdr:row>
      <xdr:rowOff>123825</xdr:rowOff>
    </xdr:from>
    <xdr:to>
      <xdr:col>1</xdr:col>
      <xdr:colOff>790575</xdr:colOff>
      <xdr:row>9</xdr:row>
      <xdr:rowOff>171450</xdr:rowOff>
    </xdr:to>
    <mc:AlternateContent xmlns:mc="http://schemas.openxmlformats.org/markup-compatibility/2006" xmlns:a14="http://schemas.microsoft.com/office/drawing/2010/main">
      <mc:Choice Requires="a14">
        <xdr:graphicFrame macro="">
          <xdr:nvGraphicFramePr>
            <xdr:cNvPr id="37" name="Years (Transaction_Date) 1">
              <a:extLst>
                <a:ext uri="{FF2B5EF4-FFF2-40B4-BE49-F238E27FC236}">
                  <a16:creationId xmlns:a16="http://schemas.microsoft.com/office/drawing/2014/main" id="{4722EF7A-64AC-4BED-90B9-BC003719FD2C}"/>
                </a:ext>
              </a:extLst>
            </xdr:cNvPr>
            <xdr:cNvGraphicFramePr/>
          </xdr:nvGraphicFramePr>
          <xdr:xfrm>
            <a:off x="0" y="0"/>
            <a:ext cx="0" cy="0"/>
          </xdr:xfrm>
          <a:graphic>
            <a:graphicData uri="http://schemas.microsoft.com/office/drawing/2010/slicer">
              <sle:slicer xmlns:sle="http://schemas.microsoft.com/office/drawing/2010/slicer" name="Years (Transaction_Date) 1"/>
            </a:graphicData>
          </a:graphic>
        </xdr:graphicFrame>
      </mc:Choice>
      <mc:Fallback xmlns="">
        <xdr:sp macro="" textlink="">
          <xdr:nvSpPr>
            <xdr:cNvPr id="0" name=""/>
            <xdr:cNvSpPr>
              <a:spLocks noTextEdit="1"/>
            </xdr:cNvSpPr>
          </xdr:nvSpPr>
          <xdr:spPr>
            <a:xfrm>
              <a:off x="28575" y="1004888"/>
              <a:ext cx="1607344"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9</xdr:row>
      <xdr:rowOff>171450</xdr:rowOff>
    </xdr:from>
    <xdr:to>
      <xdr:col>1</xdr:col>
      <xdr:colOff>800100</xdr:colOff>
      <xdr:row>17</xdr:row>
      <xdr:rowOff>123825</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1E7ECF8F-B6D2-4043-8B24-B1A4EA811B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005013"/>
              <a:ext cx="1626394"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123826</xdr:rowOff>
    </xdr:from>
    <xdr:to>
      <xdr:col>1</xdr:col>
      <xdr:colOff>800100</xdr:colOff>
      <xdr:row>24</xdr:row>
      <xdr:rowOff>83344</xdr:rowOff>
    </xdr:to>
    <mc:AlternateContent xmlns:mc="http://schemas.openxmlformats.org/markup-compatibility/2006" xmlns:a14="http://schemas.microsoft.com/office/drawing/2010/main">
      <mc:Choice Requires="a14">
        <xdr:graphicFrame macro="">
          <xdr:nvGraphicFramePr>
            <xdr:cNvPr id="39" name="Product_Category">
              <a:extLst>
                <a:ext uri="{FF2B5EF4-FFF2-40B4-BE49-F238E27FC236}">
                  <a16:creationId xmlns:a16="http://schemas.microsoft.com/office/drawing/2014/main" id="{312C70D9-BABE-4E85-AE60-67091206914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9050" y="3481389"/>
              <a:ext cx="1626394" cy="1507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345281</xdr:colOff>
      <xdr:row>19</xdr:row>
      <xdr:rowOff>100014</xdr:rowOff>
    </xdr:from>
    <xdr:to>
      <xdr:col>7</xdr:col>
      <xdr:colOff>369093</xdr:colOff>
      <xdr:row>29</xdr:row>
      <xdr:rowOff>23813</xdr:rowOff>
    </xdr:to>
    <xdr:sp macro="" textlink="">
      <xdr:nvSpPr>
        <xdr:cNvPr id="40" name="Rectangle: Rounded Corners 39">
          <a:extLst>
            <a:ext uri="{FF2B5EF4-FFF2-40B4-BE49-F238E27FC236}">
              <a16:creationId xmlns:a16="http://schemas.microsoft.com/office/drawing/2014/main" id="{AF1A4FE4-E3E7-55E7-9AD5-A68E2368C776}"/>
            </a:ext>
          </a:extLst>
        </xdr:cNvPr>
        <xdr:cNvSpPr/>
      </xdr:nvSpPr>
      <xdr:spPr>
        <a:xfrm>
          <a:off x="2035969" y="3838577"/>
          <a:ext cx="3786187" cy="2185986"/>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533400</xdr:colOff>
      <xdr:row>3</xdr:row>
      <xdr:rowOff>26195</xdr:rowOff>
    </xdr:from>
    <xdr:to>
      <xdr:col>10</xdr:col>
      <xdr:colOff>862012</xdr:colOff>
      <xdr:row>6</xdr:row>
      <xdr:rowOff>178595</xdr:rowOff>
    </xdr:to>
    <xdr:sp macro="" textlink="">
      <xdr:nvSpPr>
        <xdr:cNvPr id="41" name="Rectangle: Rounded Corners 40">
          <a:extLst>
            <a:ext uri="{FF2B5EF4-FFF2-40B4-BE49-F238E27FC236}">
              <a16:creationId xmlns:a16="http://schemas.microsoft.com/office/drawing/2014/main" id="{7F5E665A-0166-48FD-B580-14ECD3D574F0}"/>
            </a:ext>
          </a:extLst>
        </xdr:cNvPr>
        <xdr:cNvSpPr/>
      </xdr:nvSpPr>
      <xdr:spPr>
        <a:xfrm>
          <a:off x="6057900" y="716758"/>
          <a:ext cx="1828800" cy="723900"/>
        </a:xfrm>
        <a:prstGeom prst="roundRect">
          <a:avLst/>
        </a:prstGeom>
        <a:noFill/>
        <a:ln w="3175"/>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b"/>
        <a:lstStyle/>
        <a:p>
          <a:pPr algn="ctr"/>
          <a:r>
            <a:rPr lang="en-US" sz="1100"/>
            <a:t>dsad</a:t>
          </a:r>
        </a:p>
      </xdr:txBody>
    </xdr:sp>
    <xdr:clientData/>
  </xdr:twoCellAnchor>
  <xdr:twoCellAnchor>
    <xdr:from>
      <xdr:col>8</xdr:col>
      <xdr:colOff>1</xdr:colOff>
      <xdr:row>19</xdr:row>
      <xdr:rowOff>119063</xdr:rowOff>
    </xdr:from>
    <xdr:to>
      <xdr:col>12</xdr:col>
      <xdr:colOff>464345</xdr:colOff>
      <xdr:row>29</xdr:row>
      <xdr:rowOff>42862</xdr:rowOff>
    </xdr:to>
    <xdr:sp macro="" textlink="">
      <xdr:nvSpPr>
        <xdr:cNvPr id="5" name="Rectangle: Rounded Corners 4">
          <a:extLst>
            <a:ext uri="{FF2B5EF4-FFF2-40B4-BE49-F238E27FC236}">
              <a16:creationId xmlns:a16="http://schemas.microsoft.com/office/drawing/2014/main" id="{FE773A1C-C89A-4E3E-8348-C519795C70C4}"/>
            </a:ext>
          </a:extLst>
        </xdr:cNvPr>
        <xdr:cNvSpPr/>
      </xdr:nvSpPr>
      <xdr:spPr>
        <a:xfrm>
          <a:off x="6060282" y="3917157"/>
          <a:ext cx="4167188" cy="2185986"/>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535782</xdr:colOff>
      <xdr:row>19</xdr:row>
      <xdr:rowOff>142875</xdr:rowOff>
    </xdr:from>
    <xdr:to>
      <xdr:col>18</xdr:col>
      <xdr:colOff>416720</xdr:colOff>
      <xdr:row>29</xdr:row>
      <xdr:rowOff>66674</xdr:rowOff>
    </xdr:to>
    <xdr:sp macro="" textlink="">
      <xdr:nvSpPr>
        <xdr:cNvPr id="9" name="Rectangle: Rounded Corners 8">
          <a:extLst>
            <a:ext uri="{FF2B5EF4-FFF2-40B4-BE49-F238E27FC236}">
              <a16:creationId xmlns:a16="http://schemas.microsoft.com/office/drawing/2014/main" id="{90096C1E-8CCA-4699-A5ED-54A1E8231F3B}"/>
            </a:ext>
          </a:extLst>
        </xdr:cNvPr>
        <xdr:cNvSpPr/>
      </xdr:nvSpPr>
      <xdr:spPr>
        <a:xfrm>
          <a:off x="10298907" y="3881438"/>
          <a:ext cx="3643313" cy="2185986"/>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607218</xdr:colOff>
      <xdr:row>21</xdr:row>
      <xdr:rowOff>23811</xdr:rowOff>
    </xdr:from>
    <xdr:to>
      <xdr:col>18</xdr:col>
      <xdr:colOff>333374</xdr:colOff>
      <xdr:row>28</xdr:row>
      <xdr:rowOff>147634</xdr:rowOff>
    </xdr:to>
    <xdr:graphicFrame macro="">
      <xdr:nvGraphicFramePr>
        <xdr:cNvPr id="13" name="Chart 12">
          <a:extLst>
            <a:ext uri="{FF2B5EF4-FFF2-40B4-BE49-F238E27FC236}">
              <a16:creationId xmlns:a16="http://schemas.microsoft.com/office/drawing/2014/main" id="{45E394B8-A526-494D-95C4-4B8149204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0.72922</cdr:x>
      <cdr:y>0.72413</cdr:y>
    </cdr:from>
    <cdr:to>
      <cdr:x>0.89495</cdr:x>
      <cdr:y>0.88322</cdr:y>
    </cdr:to>
    <cdr:sp macro="" textlink="">
      <cdr:nvSpPr>
        <cdr:cNvPr id="3" name="TextBox 2">
          <a:extLst xmlns:a="http://schemas.openxmlformats.org/drawingml/2006/main">
            <a:ext uri="{FF2B5EF4-FFF2-40B4-BE49-F238E27FC236}">
              <a16:creationId xmlns:a16="http://schemas.microsoft.com/office/drawing/2014/main" id="{11545684-6CE4-66EB-4957-01A6B847EC20}"/>
            </a:ext>
          </a:extLst>
        </cdr:cNvPr>
        <cdr:cNvSpPr txBox="1"/>
      </cdr:nvSpPr>
      <cdr:spPr>
        <a:xfrm xmlns:a="http://schemas.openxmlformats.org/drawingml/2006/main">
          <a:off x="2542157" y="1296699"/>
          <a:ext cx="577761" cy="2848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accent3"/>
              </a:solidFill>
            </a:rPr>
            <a:t>TOTAL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881310185185" backgroundQuery="1" createdVersion="8" refreshedVersion="8" minRefreshableVersion="3" recordCount="132" xr:uid="{68581775-AD59-4FA6-ADC6-A4B6D1D18BEE}">
  <cacheSource type="external" connectionId="1"/>
  <cacheFields count="27">
    <cacheField name="Transaction_ID" numFmtId="0">
      <sharedItems/>
    </cacheField>
    <cacheField name="Transaction_Date" numFmtId="0">
      <sharedItems containsSemiMixedTypes="0" containsNonDate="0" containsDate="1" containsString="0" minDate="2023-01-01T00:00:00" maxDate="2026-01-01T00:00:00" count="127">
        <d v="2025-03-13T00:00:00"/>
        <d v="2023-07-12T00:00:00"/>
        <d v="2024-09-16T00:00:00"/>
        <d v="2025-07-15T00:00:00"/>
        <d v="2023-10-06T00:00:00"/>
        <d v="2024-06-27T00:00:00"/>
        <d v="2023-05-20T00:00:00"/>
        <d v="2024-12-11T00:00:00"/>
        <d v="2023-06-05T00:00:00"/>
        <d v="2023-04-01T00:00:00"/>
        <d v="2024-10-06T00:00:00"/>
        <d v="2024-06-19T00:00:00"/>
        <d v="2023-09-23T00:00:00"/>
        <d v="2024-05-09T00:00:00"/>
        <d v="2023-08-07T00:00:00"/>
        <d v="2023-10-21T00:00:00"/>
        <d v="2023-05-11T00:00:00"/>
        <d v="2025-03-07T00:00:00"/>
        <d v="2023-11-05T00:00:00"/>
        <d v="2025-08-01T00:00:00"/>
        <d v="2023-04-21T00:00:00"/>
        <d v="2025-01-10T00:00:00"/>
        <d v="2024-11-16T00:00:00"/>
        <d v="2023-08-01T00:00:00"/>
        <d v="2024-01-19T00:00:00"/>
        <d v="2024-02-10T00:00:00"/>
        <d v="2024-10-01T00:00:00"/>
        <d v="2024-01-03T00:00:00"/>
        <d v="2025-03-12T00:00:00"/>
        <d v="2025-08-11T00:00:00"/>
        <d v="2025-12-30T00:00:00"/>
        <d v="2023-08-06T00:00:00"/>
        <d v="2024-09-11T00:00:00"/>
        <d v="2024-05-30T00:00:00"/>
        <d v="2023-04-23T00:00:00"/>
        <d v="2024-02-23T00:00:00"/>
        <d v="2023-06-02T00:00:00"/>
        <d v="2025-02-13T00:00:00"/>
        <d v="2025-07-11T00:00:00"/>
        <d v="2024-12-01T00:00:00"/>
        <d v="2024-03-08T00:00:00"/>
        <d v="2025-12-20T00:00:00"/>
        <d v="2024-10-07T00:00:00"/>
        <d v="2023-05-29T00:00:00"/>
        <d v="2025-04-07T00:00:00"/>
        <d v="2025-10-20T00:00:00"/>
        <d v="2025-09-20T00:00:00"/>
        <d v="2024-05-27T00:00:00"/>
        <d v="2024-08-26T00:00:00"/>
        <d v="2025-05-05T00:00:00"/>
        <d v="2024-06-01T00:00:00"/>
        <d v="2024-08-30T00:00:00"/>
        <d v="2025-09-19T00:00:00"/>
        <d v="2023-08-12T00:00:00"/>
        <d v="2025-12-15T00:00:00"/>
        <d v="2023-06-11T00:00:00"/>
        <d v="2024-02-04T00:00:00"/>
        <d v="2024-12-22T00:00:00"/>
        <d v="2024-09-24T00:00:00"/>
        <d v="2025-10-11T00:00:00"/>
        <d v="2025-10-05T00:00:00"/>
        <d v="2023-05-31T00:00:00"/>
        <d v="2024-10-12T00:00:00"/>
        <d v="2023-02-19T00:00:00"/>
        <d v="2025-10-22T00:00:00"/>
        <d v="2023-01-28T00:00:00"/>
        <d v="2025-02-27T00:00:00"/>
        <d v="2025-10-26T00:00:00"/>
        <d v="2025-07-21T00:00:00"/>
        <d v="2023-05-17T00:00:00"/>
        <d v="2025-04-06T00:00:00"/>
        <d v="2024-02-03T00:00:00"/>
        <d v="2025-03-26T00:00:00"/>
        <d v="2024-08-02T00:00:00"/>
        <d v="2023-01-01T00:00:00"/>
        <d v="2024-01-13T00:00:00"/>
        <d v="2025-12-13T00:00:00"/>
        <d v="2024-05-15T00:00:00"/>
        <d v="2025-06-26T00:00:00"/>
        <d v="2024-06-26T00:00:00"/>
        <d v="2023-01-14T00:00:00"/>
        <d v="2023-08-02T00:00:00"/>
        <d v="2023-07-23T00:00:00"/>
        <d v="2025-12-07T00:00:00"/>
        <d v="2023-12-02T00:00:00"/>
        <d v="2024-06-15T00:00:00"/>
        <d v="2023-01-17T00:00:00"/>
        <d v="2025-06-17T00:00:00"/>
        <d v="2025-01-13T00:00:00"/>
        <d v="2024-12-09T00:00:00"/>
        <d v="2024-03-15T00:00:00"/>
        <d v="2024-08-12T00:00:00"/>
        <d v="2025-12-25T00:00:00"/>
        <d v="2023-08-21T00:00:00"/>
        <d v="2024-03-14T00:00:00"/>
        <d v="2023-10-29T00:00:00"/>
        <d v="2025-05-04T00:00:00"/>
        <d v="2024-01-01T00:00:00"/>
        <d v="2024-09-12T00:00:00"/>
        <d v="2025-10-15T00:00:00"/>
        <d v="2023-11-06T00:00:00"/>
        <d v="2023-04-14T00:00:00"/>
        <d v="2025-01-05T00:00:00"/>
        <d v="2025-04-24T00:00:00"/>
        <d v="2025-06-27T00:00:00"/>
        <d v="2024-01-21T00:00:00"/>
        <d v="2024-05-11T00:00:00"/>
        <d v="2025-08-03T00:00:00"/>
        <d v="2025-10-03T00:00:00"/>
        <d v="2025-09-28T00:00:00"/>
        <d v="2023-11-09T00:00:00"/>
        <d v="2025-10-09T00:00:00"/>
        <d v="2025-12-31T00:00:00"/>
        <d v="2023-08-23T00:00:00"/>
        <d v="2023-03-31T00:00:00"/>
        <d v="2023-07-02T00:00:00"/>
        <d v="2023-03-25T00:00:00"/>
        <d v="2025-03-01T00:00:00"/>
        <d v="2024-12-24T00:00:00"/>
        <d v="2023-07-13T00:00:00"/>
        <d v="2023-11-22T00:00:00"/>
        <d v="2023-02-27T00:00:00"/>
        <d v="2024-04-11T00:00:00"/>
        <d v="2025-07-12T00:00:00"/>
        <d v="2024-10-25T00:00:00"/>
        <d v="2024-03-02T00:00:00"/>
        <d v="2024-09-19T00:00:00"/>
      </sharedItems>
      <fieldGroup par="26"/>
    </cacheField>
    <cacheField name="Region" numFmtId="0">
      <sharedItems count="5">
        <s v="Mea"/>
        <s v="Latam"/>
        <s v="Americas"/>
        <s v="Apac"/>
        <s v="Emea"/>
      </sharedItems>
    </cacheField>
    <cacheField name="Country" numFmtId="0">
      <sharedItems count="20">
        <s v="Japan"/>
        <s v="Vietnam"/>
        <s v="UAE"/>
        <s v="USA"/>
        <s v="Thailand"/>
        <s v="South Africa"/>
        <s v="Saudi Arabia"/>
        <s v="Singapore"/>
        <s v="India"/>
        <s v="Australia"/>
        <s v="Brazil"/>
        <s v="Spain"/>
        <s v="UK"/>
        <s v="Philippines"/>
        <s v="Italy"/>
        <s v="Canada"/>
        <s v="Germany"/>
        <s v="Mexico"/>
        <s v="Netherlands"/>
        <s v="France"/>
      </sharedItems>
    </cacheField>
    <cacheField name="Branch" numFmtId="0">
      <sharedItems count="20">
        <s v="Branch-16"/>
        <s v="Branch-13"/>
        <s v="Branch-14"/>
        <s v="Branch-12"/>
        <s v="Branch-5"/>
        <s v="Branch-7"/>
        <s v="Branch-2"/>
        <s v="Branch-20"/>
        <s v="Branch-19"/>
        <s v="Branch-10"/>
        <s v="Branch-9"/>
        <s v="Branch-6"/>
        <s v="Branch-4"/>
        <s v="Branch-3"/>
        <s v="Branch-1"/>
        <s v="Branch-15"/>
        <s v="Branch-11"/>
        <s v="Branch-17"/>
        <s v="Branch-18"/>
        <s v="Branch-8"/>
      </sharedItems>
    </cacheField>
    <cacheField name="Account_Manager" numFmtId="0">
      <sharedItems count="5">
        <s v="Michael Ong"/>
        <s v="John Cruz"/>
        <s v="Ana Reyes"/>
        <s v="Sarah Lee"/>
        <s v="Mark Tan"/>
      </sharedItems>
    </cacheField>
    <cacheField name="Customer_Name" numFmtId="0">
      <sharedItems/>
    </cacheField>
    <cacheField name="Customer_Segment" numFmtId="0">
      <sharedItems count="4">
        <s v="Enterprise"/>
        <s v="SME"/>
        <s v="Retail"/>
        <s v="Corporate"/>
      </sharedItems>
    </cacheField>
    <cacheField name="Product_Category" numFmtId="0">
      <sharedItems count="5">
        <s v="Credit Cards"/>
        <s v="Savings"/>
        <s v="Loans"/>
        <s v="Investments"/>
        <s v="Insurance"/>
      </sharedItems>
    </cacheField>
    <cacheField name="Product" numFmtId="0">
      <sharedItems count="46">
        <s v="Product_08"/>
        <s v="Product_41"/>
        <s v="Product_02"/>
        <s v="Product_23"/>
        <s v="Product_25"/>
        <s v="Product_49"/>
        <s v="Product_39"/>
        <s v="Product_44"/>
        <s v="Product_27"/>
        <s v="Product_42"/>
        <s v="Product_43"/>
        <s v="Product_22"/>
        <s v="Product_05"/>
        <s v="Product_32"/>
        <s v="Product_04"/>
        <s v="Product_35"/>
        <s v="Product_17"/>
        <s v="Product_15"/>
        <s v="Product_12"/>
        <s v="Product_11"/>
        <s v="Product_13"/>
        <s v="Product_45"/>
        <s v="Product_26"/>
        <s v="Product_40"/>
        <s v="Product_33"/>
        <s v="Product_34"/>
        <s v="Product_07"/>
        <s v="Product_38"/>
        <s v="Product_03"/>
        <s v="Product_20"/>
        <s v="Product_36"/>
        <s v="Product_10"/>
        <s v="Product_46"/>
        <s v="Product_21"/>
        <s v="Product_14"/>
        <s v="Product_50"/>
        <s v="Product_01"/>
        <s v="Product_19"/>
        <s v="Product_37"/>
        <s v="Product_09"/>
        <s v="Product_31"/>
        <s v="Product_30"/>
        <s v="Product_24"/>
        <s v="Product_28"/>
        <s v="Product_16"/>
        <s v="Product_47"/>
      </sharedItems>
    </cacheField>
    <cacheField name="Units_Sold" numFmtId="0">
      <sharedItems containsSemiMixedTypes="0" containsString="0" containsNumber="1" containsInteger="1" minValue="-4" maxValue="100"/>
    </cacheField>
    <cacheField name="Unit_Price" numFmtId="0">
      <sharedItems containsSemiMixedTypes="0" containsString="0" containsNumber="1" containsInteger="1" minValue="1071" maxValue="49733"/>
    </cacheField>
    <cacheField name="Discount" numFmtId="0">
      <sharedItems containsSemiMixedTypes="0" containsString="0" containsNumber="1" minValue="0" maxValue="1" count="5">
        <n v="0.1"/>
        <n v="0"/>
        <n v="0.15"/>
        <n v="0.05"/>
        <n v="1"/>
      </sharedItems>
    </cacheField>
    <cacheField name="Revenue" numFmtId="0">
      <sharedItems containsSemiMixedTypes="0" containsString="0" containsNumber="1" containsInteger="1" minValue="-178412" maxValue="4731700"/>
    </cacheField>
    <cacheField name="Cost" numFmtId="0">
      <sharedItems containsSemiMixedTypes="0" containsString="0" containsNumber="1" containsInteger="1" minValue="0" maxValue="3380926"/>
    </cacheField>
    <cacheField name="Profit" numFmtId="0">
      <sharedItems containsSemiMixedTypes="0" containsString="0" containsNumber="1" containsInteger="1" minValue="-293514" maxValue="1352165"/>
    </cacheField>
    <cacheField name="Payment_Method" numFmtId="0">
      <sharedItems count="3">
        <s v="Card"/>
        <s v="Cash"/>
        <s v="Bank Transfer"/>
      </sharedItems>
    </cacheField>
    <cacheField name="Invoice_Status" numFmtId="0">
      <sharedItems count="3">
        <s v="Overdue"/>
        <s v="Paid"/>
        <s v="Pending"/>
      </sharedItems>
    </cacheField>
    <cacheField name="Currency" numFmtId="0">
      <sharedItems count="3">
        <s v="PHP"/>
        <s v="USD"/>
        <s v="EUR"/>
      </sharedItems>
    </cacheField>
    <cacheField name="Exchange_Rate" numFmtId="0">
      <sharedItems containsSemiMixedTypes="0" containsString="0" containsNumber="1" minValue="1.0115000000000001" maxValue="59.777500000000003"/>
    </cacheField>
    <cacheField name="Profit Margin" numFmtId="0" formula="Profit/Revenue" databaseField="0"/>
    <cacheField name="Avg Deal Size" numFmtId="0" formula="Revenue/Transaction_ID" databaseField="0"/>
    <cacheField name="Field1" numFmtId="0" formula="'Avg Deal Size'" databaseField="0"/>
    <cacheField name="Field2" numFmtId="0" formula="'Avg Deal Size'" databaseField="0"/>
    <cacheField name="Months (Transaction_Date)" numFmtId="0" databaseField="0">
      <fieldGroup base="1">
        <rangePr groupBy="months" startDate="2023-01-01T00:00:00" endDate="2026-01-01T00:00:00"/>
        <groupItems count="14">
          <s v="&lt;01/01/2023"/>
          <s v="Jan"/>
          <s v="Feb"/>
          <s v="Mar"/>
          <s v="Apr"/>
          <s v="May"/>
          <s v="Jun"/>
          <s v="Jul"/>
          <s v="Aug"/>
          <s v="Sep"/>
          <s v="Oct"/>
          <s v="Nov"/>
          <s v="Dec"/>
          <s v="&gt;01/01/2026"/>
        </groupItems>
      </fieldGroup>
    </cacheField>
    <cacheField name="Quarters (Transaction_Date)" numFmtId="0" databaseField="0">
      <fieldGroup base="1">
        <rangePr groupBy="quarters" startDate="2023-01-01T00:00:00" endDate="2026-01-01T00:00:00"/>
        <groupItems count="6">
          <s v="&lt;01/01/2023"/>
          <s v="Qtr1"/>
          <s v="Qtr2"/>
          <s v="Qtr3"/>
          <s v="Qtr4"/>
          <s v="&gt;01/01/2026"/>
        </groupItems>
      </fieldGroup>
    </cacheField>
    <cacheField name="Years (Transaction_Date)" numFmtId="0" databaseField="0">
      <fieldGroup base="1">
        <rangePr groupBy="years" startDate="2023-01-01T00:00:00" endDate="2026-01-01T00:00:00"/>
        <groupItems count="6">
          <s v="&lt;01/01/2023"/>
          <s v="2023"/>
          <s v="2024"/>
          <s v="2025"/>
          <s v="2026"/>
          <s v="&gt;01/01/2026"/>
        </groupItems>
      </fieldGroup>
    </cacheField>
  </cacheFields>
  <extLst>
    <ext xmlns:x14="http://schemas.microsoft.com/office/spreadsheetml/2009/9/main" uri="{725AE2AE-9491-48be-B2B4-4EB974FC3084}">
      <x14:pivotCacheDefinition pivotCacheId="1136050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s v="FIN0002"/>
    <x v="0"/>
    <x v="0"/>
    <x v="0"/>
    <x v="0"/>
    <x v="0"/>
    <s v="Customer_58"/>
    <x v="0"/>
    <x v="0"/>
    <x v="0"/>
    <n v="40"/>
    <n v="33316"/>
    <x v="0"/>
    <n v="1199376"/>
    <n v="940477"/>
    <n v="258899"/>
    <x v="0"/>
    <x v="0"/>
    <x v="0"/>
    <n v="1.9584999999999999"/>
  </r>
  <r>
    <s v="FIN0003"/>
    <x v="1"/>
    <x v="0"/>
    <x v="1"/>
    <x v="1"/>
    <x v="1"/>
    <s v="Customer_54"/>
    <x v="1"/>
    <x v="1"/>
    <x v="1"/>
    <n v="35"/>
    <n v="16759"/>
    <x v="0"/>
    <n v="527908"/>
    <n v="434430"/>
    <n v="93479"/>
    <x v="0"/>
    <x v="1"/>
    <x v="1"/>
    <n v="2.3028"/>
  </r>
  <r>
    <s v="FIN0004"/>
    <x v="2"/>
    <x v="1"/>
    <x v="2"/>
    <x v="2"/>
    <x v="2"/>
    <s v="Customer_78"/>
    <x v="0"/>
    <x v="0"/>
    <x v="2"/>
    <n v="33"/>
    <n v="22516"/>
    <x v="0"/>
    <n v="668725"/>
    <n v="350029"/>
    <n v="318696"/>
    <x v="1"/>
    <x v="0"/>
    <x v="1"/>
    <n v="41.726199999999999"/>
  </r>
  <r>
    <s v="FIN0005"/>
    <x v="3"/>
    <x v="0"/>
    <x v="3"/>
    <x v="3"/>
    <x v="1"/>
    <s v="Customer_36"/>
    <x v="2"/>
    <x v="2"/>
    <x v="3"/>
    <n v="24"/>
    <n v="16406"/>
    <x v="1"/>
    <n v="393744"/>
    <n v="256781"/>
    <n v="136963"/>
    <x v="1"/>
    <x v="0"/>
    <x v="0"/>
    <n v="10.3467"/>
  </r>
  <r>
    <s v="FIN0006"/>
    <x v="4"/>
    <x v="2"/>
    <x v="4"/>
    <x v="4"/>
    <x v="2"/>
    <s v="Customer_68"/>
    <x v="1"/>
    <x v="3"/>
    <x v="4"/>
    <n v="84"/>
    <n v="42302"/>
    <x v="2"/>
    <n v="3020363"/>
    <n v="1877525"/>
    <n v="1142837"/>
    <x v="1"/>
    <x v="0"/>
    <x v="1"/>
    <n v="5.1292"/>
  </r>
  <r>
    <s v="FIN0007"/>
    <x v="5"/>
    <x v="3"/>
    <x v="2"/>
    <x v="4"/>
    <x v="0"/>
    <s v="Customer_63"/>
    <x v="0"/>
    <x v="2"/>
    <x v="5"/>
    <n v="48"/>
    <n v="17987"/>
    <x v="2"/>
    <n v="733870"/>
    <n v="597564"/>
    <n v="136305"/>
    <x v="2"/>
    <x v="0"/>
    <x v="1"/>
    <n v="58.163400000000003"/>
  </r>
  <r>
    <s v="FIN0008"/>
    <x v="6"/>
    <x v="1"/>
    <x v="5"/>
    <x v="5"/>
    <x v="1"/>
    <s v="Customer_38"/>
    <x v="1"/>
    <x v="3"/>
    <x v="6"/>
    <n v="83"/>
    <n v="2981"/>
    <x v="1"/>
    <n v="247423"/>
    <n v="125313"/>
    <n v="122110"/>
    <x v="2"/>
    <x v="2"/>
    <x v="0"/>
    <n v="52.319499999999998"/>
  </r>
  <r>
    <s v="FIN0009"/>
    <x v="7"/>
    <x v="2"/>
    <x v="6"/>
    <x v="5"/>
    <x v="1"/>
    <s v="Customer_73"/>
    <x v="3"/>
    <x v="1"/>
    <x v="1"/>
    <n v="19"/>
    <n v="46157"/>
    <x v="0"/>
    <n v="789285"/>
    <n v="594630"/>
    <n v="194654"/>
    <x v="2"/>
    <x v="2"/>
    <x v="0"/>
    <n v="56.226700000000001"/>
  </r>
  <r>
    <s v="FIN0010"/>
    <x v="8"/>
    <x v="2"/>
    <x v="0"/>
    <x v="6"/>
    <x v="1"/>
    <s v="Customer_80"/>
    <x v="1"/>
    <x v="2"/>
    <x v="7"/>
    <n v="68"/>
    <n v="21866"/>
    <x v="3"/>
    <n v="1412544"/>
    <n v="803265"/>
    <n v="609279"/>
    <x v="1"/>
    <x v="1"/>
    <x v="2"/>
    <n v="58.019100000000002"/>
  </r>
  <r>
    <s v="FIN0011"/>
    <x v="9"/>
    <x v="2"/>
    <x v="7"/>
    <x v="7"/>
    <x v="3"/>
    <s v="Customer_73"/>
    <x v="3"/>
    <x v="1"/>
    <x v="2"/>
    <n v="68"/>
    <n v="7438"/>
    <x v="0"/>
    <n v="133884"/>
    <n v="91327"/>
    <n v="42557"/>
    <x v="1"/>
    <x v="2"/>
    <x v="0"/>
    <n v="33.123699999999999"/>
  </r>
  <r>
    <s v="FIN0012"/>
    <x v="10"/>
    <x v="3"/>
    <x v="8"/>
    <x v="6"/>
    <x v="1"/>
    <s v="Customer_14"/>
    <x v="0"/>
    <x v="2"/>
    <x v="8"/>
    <n v="29"/>
    <n v="32564"/>
    <x v="1"/>
    <n v="944356"/>
    <n v="476060"/>
    <n v="468296"/>
    <x v="2"/>
    <x v="0"/>
    <x v="2"/>
    <n v="33.060200000000002"/>
  </r>
  <r>
    <s v="FIN0013"/>
    <x v="11"/>
    <x v="4"/>
    <x v="9"/>
    <x v="8"/>
    <x v="1"/>
    <s v="Customer_42"/>
    <x v="2"/>
    <x v="4"/>
    <x v="9"/>
    <n v="30"/>
    <n v="39185"/>
    <x v="1"/>
    <n v="1175550"/>
    <n v="705070"/>
    <n v="470480"/>
    <x v="0"/>
    <x v="0"/>
    <x v="2"/>
    <n v="33.264699999999998"/>
  </r>
  <r>
    <s v="FIN0014"/>
    <x v="12"/>
    <x v="2"/>
    <x v="10"/>
    <x v="9"/>
    <x v="1"/>
    <s v="Customer_29"/>
    <x v="2"/>
    <x v="4"/>
    <x v="10"/>
    <n v="14"/>
    <n v="42155"/>
    <x v="3"/>
    <n v="560662"/>
    <n v="417166"/>
    <n v="143495"/>
    <x v="1"/>
    <x v="0"/>
    <x v="0"/>
    <n v="54.843400000000003"/>
  </r>
  <r>
    <s v="FIN0015"/>
    <x v="13"/>
    <x v="2"/>
    <x v="6"/>
    <x v="10"/>
    <x v="3"/>
    <s v="Customer_13"/>
    <x v="1"/>
    <x v="4"/>
    <x v="11"/>
    <n v="13"/>
    <n v="45694"/>
    <x v="3"/>
    <n v="564321"/>
    <n v="314955"/>
    <n v="249366"/>
    <x v="1"/>
    <x v="2"/>
    <x v="2"/>
    <n v="10.8581"/>
  </r>
  <r>
    <s v="FIN0016"/>
    <x v="14"/>
    <x v="2"/>
    <x v="2"/>
    <x v="6"/>
    <x v="0"/>
    <s v="Customer_80"/>
    <x v="1"/>
    <x v="3"/>
    <x v="2"/>
    <n v="19"/>
    <n v="31459"/>
    <x v="3"/>
    <n v="567835"/>
    <n v="360742"/>
    <n v="207093"/>
    <x v="2"/>
    <x v="2"/>
    <x v="0"/>
    <n v="24.1496"/>
  </r>
  <r>
    <s v="FIN0017"/>
    <x v="15"/>
    <x v="4"/>
    <x v="5"/>
    <x v="10"/>
    <x v="4"/>
    <s v="Customer_9"/>
    <x v="0"/>
    <x v="0"/>
    <x v="12"/>
    <n v="42"/>
    <n v="43844"/>
    <x v="3"/>
    <n v="1749376"/>
    <n v="1113300"/>
    <n v="636075"/>
    <x v="2"/>
    <x v="2"/>
    <x v="0"/>
    <n v="13.1584"/>
  </r>
  <r>
    <s v="FIN0018"/>
    <x v="16"/>
    <x v="0"/>
    <x v="1"/>
    <x v="10"/>
    <x v="4"/>
    <s v="Customer_12"/>
    <x v="1"/>
    <x v="4"/>
    <x v="13"/>
    <n v="96"/>
    <n v="4286"/>
    <x v="3"/>
    <n v="390883"/>
    <n v="196748"/>
    <n v="194135"/>
    <x v="0"/>
    <x v="1"/>
    <x v="0"/>
    <n v="47.3476"/>
  </r>
  <r>
    <s v="FIN0019"/>
    <x v="17"/>
    <x v="1"/>
    <x v="8"/>
    <x v="4"/>
    <x v="4"/>
    <s v="Customer_17"/>
    <x v="1"/>
    <x v="4"/>
    <x v="14"/>
    <n v="48"/>
    <n v="16275"/>
    <x v="1"/>
    <n v="781200"/>
    <n v="629014"/>
    <n v="152186"/>
    <x v="2"/>
    <x v="1"/>
    <x v="0"/>
    <n v="47.6661"/>
  </r>
  <r>
    <s v="FIN0020"/>
    <x v="18"/>
    <x v="0"/>
    <x v="10"/>
    <x v="7"/>
    <x v="4"/>
    <s v="Customer_40"/>
    <x v="0"/>
    <x v="3"/>
    <x v="15"/>
    <n v="17"/>
    <n v="14639"/>
    <x v="1"/>
    <n v="248863"/>
    <n v="208950"/>
    <n v="39913"/>
    <x v="0"/>
    <x v="2"/>
    <x v="2"/>
    <n v="16.971800000000002"/>
  </r>
  <r>
    <s v="FIN0021"/>
    <x v="19"/>
    <x v="1"/>
    <x v="11"/>
    <x v="1"/>
    <x v="3"/>
    <s v="Customer_68"/>
    <x v="1"/>
    <x v="3"/>
    <x v="14"/>
    <n v="78"/>
    <n v="32567"/>
    <x v="2"/>
    <n v="2159192"/>
    <n v="1933297"/>
    <n v="225895"/>
    <x v="0"/>
    <x v="2"/>
    <x v="0"/>
    <n v="7.6157000000000004"/>
  </r>
  <r>
    <s v="FIN0022"/>
    <x v="20"/>
    <x v="3"/>
    <x v="5"/>
    <x v="7"/>
    <x v="3"/>
    <s v="Customer_43"/>
    <x v="2"/>
    <x v="3"/>
    <x v="16"/>
    <n v="1"/>
    <n v="20542"/>
    <x v="0"/>
    <n v="18488"/>
    <n v="13731"/>
    <n v="4757"/>
    <x v="2"/>
    <x v="2"/>
    <x v="0"/>
    <n v="27.5501"/>
  </r>
  <r>
    <s v="FIN0023"/>
    <x v="21"/>
    <x v="1"/>
    <x v="5"/>
    <x v="11"/>
    <x v="3"/>
    <s v="Customer_32"/>
    <x v="2"/>
    <x v="3"/>
    <x v="17"/>
    <n v="86"/>
    <n v="23546"/>
    <x v="1"/>
    <n v="2024956"/>
    <n v="1574403"/>
    <n v="450553"/>
    <x v="1"/>
    <x v="2"/>
    <x v="2"/>
    <n v="19.685700000000001"/>
  </r>
  <r>
    <s v="FIN0024"/>
    <x v="22"/>
    <x v="3"/>
    <x v="12"/>
    <x v="9"/>
    <x v="1"/>
    <s v="Customer_3"/>
    <x v="3"/>
    <x v="2"/>
    <x v="18"/>
    <n v="86"/>
    <n v="1427"/>
    <x v="1"/>
    <n v="55653"/>
    <n v="37027"/>
    <n v="18626"/>
    <x v="0"/>
    <x v="1"/>
    <x v="0"/>
    <n v="12.6561"/>
  </r>
  <r>
    <s v="FIN0025"/>
    <x v="23"/>
    <x v="1"/>
    <x v="8"/>
    <x v="4"/>
    <x v="2"/>
    <s v="Customer_4"/>
    <x v="3"/>
    <x v="2"/>
    <x v="17"/>
    <n v="74"/>
    <n v="15147"/>
    <x v="2"/>
    <n v="952746"/>
    <n v="772637"/>
    <n v="180110"/>
    <x v="0"/>
    <x v="1"/>
    <x v="0"/>
    <n v="24.9086"/>
  </r>
  <r>
    <s v="FIN0026"/>
    <x v="24"/>
    <x v="1"/>
    <x v="7"/>
    <x v="12"/>
    <x v="2"/>
    <s v="Customer_64"/>
    <x v="2"/>
    <x v="4"/>
    <x v="19"/>
    <n v="79"/>
    <n v="29899"/>
    <x v="1"/>
    <n v="2362021"/>
    <n v="1304202"/>
    <n v="1057819"/>
    <x v="2"/>
    <x v="0"/>
    <x v="2"/>
    <n v="10.2827"/>
  </r>
  <r>
    <s v="FIN0027"/>
    <x v="25"/>
    <x v="3"/>
    <x v="13"/>
    <x v="13"/>
    <x v="3"/>
    <s v="Customer_39"/>
    <x v="1"/>
    <x v="3"/>
    <x v="20"/>
    <n v="60"/>
    <n v="15659"/>
    <x v="2"/>
    <n v="798609"/>
    <n v="654071"/>
    <n v="144538"/>
    <x v="0"/>
    <x v="0"/>
    <x v="0"/>
    <n v="53.235500000000002"/>
  </r>
  <r>
    <s v="FIN0029"/>
    <x v="26"/>
    <x v="1"/>
    <x v="14"/>
    <x v="14"/>
    <x v="2"/>
    <s v="Customer_39"/>
    <x v="3"/>
    <x v="3"/>
    <x v="21"/>
    <n v="59"/>
    <n v="48248"/>
    <x v="3"/>
    <n v="2704300"/>
    <n v="2144911"/>
    <n v="559389"/>
    <x v="2"/>
    <x v="0"/>
    <x v="1"/>
    <n v="41.2044"/>
  </r>
  <r>
    <s v="FIN0031"/>
    <x v="27"/>
    <x v="0"/>
    <x v="12"/>
    <x v="15"/>
    <x v="1"/>
    <s v="Customer_77"/>
    <x v="3"/>
    <x v="2"/>
    <x v="22"/>
    <n v="28"/>
    <n v="20264"/>
    <x v="2"/>
    <n v="482283"/>
    <n v="407331"/>
    <n v="74952"/>
    <x v="2"/>
    <x v="1"/>
    <x v="0"/>
    <n v="44.729799999999997"/>
  </r>
  <r>
    <s v="FIN0032"/>
    <x v="28"/>
    <x v="3"/>
    <x v="1"/>
    <x v="13"/>
    <x v="1"/>
    <s v="Customer_5"/>
    <x v="0"/>
    <x v="4"/>
    <x v="23"/>
    <n v="19"/>
    <n v="43949"/>
    <x v="1"/>
    <n v="835031"/>
    <n v="533460"/>
    <n v="301571"/>
    <x v="0"/>
    <x v="1"/>
    <x v="0"/>
    <n v="14.3193"/>
  </r>
  <r>
    <s v="FIN0033"/>
    <x v="29"/>
    <x v="0"/>
    <x v="15"/>
    <x v="5"/>
    <x v="1"/>
    <s v="Customer_23"/>
    <x v="0"/>
    <x v="1"/>
    <x v="24"/>
    <n v="33"/>
    <n v="6158"/>
    <x v="2"/>
    <n v="172732"/>
    <n v="102479"/>
    <n v="70253"/>
    <x v="1"/>
    <x v="1"/>
    <x v="2"/>
    <n v="38.457000000000001"/>
  </r>
  <r>
    <s v="FIN0034"/>
    <x v="30"/>
    <x v="2"/>
    <x v="8"/>
    <x v="2"/>
    <x v="3"/>
    <s v="Customer_42"/>
    <x v="3"/>
    <x v="2"/>
    <x v="25"/>
    <n v="53"/>
    <n v="36065"/>
    <x v="0"/>
    <n v="1720300"/>
    <n v="1301360"/>
    <n v="418940"/>
    <x v="0"/>
    <x v="0"/>
    <x v="0"/>
    <n v="48.738999999999997"/>
  </r>
  <r>
    <s v="FIN0035"/>
    <x v="31"/>
    <x v="0"/>
    <x v="4"/>
    <x v="7"/>
    <x v="4"/>
    <s v="Customer_70"/>
    <x v="0"/>
    <x v="1"/>
    <x v="26"/>
    <n v="29"/>
    <n v="49733"/>
    <x v="0"/>
    <n v="1298031"/>
    <n v="1019782"/>
    <n v="278249"/>
    <x v="2"/>
    <x v="1"/>
    <x v="2"/>
    <n v="37.118699999999997"/>
  </r>
  <r>
    <s v="FIN0036"/>
    <x v="32"/>
    <x v="1"/>
    <x v="14"/>
    <x v="1"/>
    <x v="1"/>
    <s v="Customer_71"/>
    <x v="2"/>
    <x v="3"/>
    <x v="27"/>
    <n v="15"/>
    <n v="36923"/>
    <x v="3"/>
    <n v="526153"/>
    <n v="444035"/>
    <n v="82117"/>
    <x v="1"/>
    <x v="1"/>
    <x v="1"/>
    <n v="16.4315"/>
  </r>
  <r>
    <s v="FIN0037"/>
    <x v="33"/>
    <x v="4"/>
    <x v="16"/>
    <x v="6"/>
    <x v="1"/>
    <s v="Customer_31"/>
    <x v="1"/>
    <x v="4"/>
    <x v="28"/>
    <n v="12"/>
    <n v="20877"/>
    <x v="2"/>
    <n v="212945"/>
    <n v="175874"/>
    <n v="37072"/>
    <x v="0"/>
    <x v="1"/>
    <x v="1"/>
    <n v="14.358700000000001"/>
  </r>
  <r>
    <s v="FIN0038"/>
    <x v="34"/>
    <x v="1"/>
    <x v="13"/>
    <x v="15"/>
    <x v="1"/>
    <s v="Customer_71"/>
    <x v="2"/>
    <x v="0"/>
    <x v="0"/>
    <n v="8"/>
    <n v="43967"/>
    <x v="3"/>
    <n v="334149"/>
    <n v="179960"/>
    <n v="154189"/>
    <x v="1"/>
    <x v="0"/>
    <x v="1"/>
    <n v="16.397500000000001"/>
  </r>
  <r>
    <s v="FIN0039"/>
    <x v="35"/>
    <x v="4"/>
    <x v="10"/>
    <x v="4"/>
    <x v="2"/>
    <s v="Customer_72"/>
    <x v="2"/>
    <x v="3"/>
    <x v="29"/>
    <n v="21"/>
    <n v="33739"/>
    <x v="2"/>
    <n v="602241"/>
    <n v="435452"/>
    <n v="166789"/>
    <x v="0"/>
    <x v="0"/>
    <x v="2"/>
    <n v="6.0117000000000003"/>
  </r>
  <r>
    <s v="FIN0040"/>
    <x v="36"/>
    <x v="3"/>
    <x v="17"/>
    <x v="7"/>
    <x v="1"/>
    <s v="Customer_68"/>
    <x v="3"/>
    <x v="2"/>
    <x v="19"/>
    <n v="100"/>
    <n v="2696"/>
    <x v="0"/>
    <n v="242640"/>
    <n v="202918"/>
    <n v="39722"/>
    <x v="1"/>
    <x v="1"/>
    <x v="0"/>
    <n v="7.5500999999999996"/>
  </r>
  <r>
    <s v="FIN0041"/>
    <x v="37"/>
    <x v="1"/>
    <x v="14"/>
    <x v="2"/>
    <x v="4"/>
    <s v="Customer_11"/>
    <x v="3"/>
    <x v="4"/>
    <x v="12"/>
    <n v="84"/>
    <n v="18373"/>
    <x v="3"/>
    <n v="1466165"/>
    <n v="1309681"/>
    <n v="156485"/>
    <x v="1"/>
    <x v="2"/>
    <x v="2"/>
    <n v="51.031500000000001"/>
  </r>
  <r>
    <s v="FIN0042"/>
    <x v="38"/>
    <x v="1"/>
    <x v="6"/>
    <x v="16"/>
    <x v="1"/>
    <s v="Customer_16"/>
    <x v="0"/>
    <x v="2"/>
    <x v="30"/>
    <n v="86"/>
    <n v="6446"/>
    <x v="0"/>
    <n v="498920"/>
    <n v="342998"/>
    <n v="155922"/>
    <x v="2"/>
    <x v="0"/>
    <x v="2"/>
    <n v="18.570799999999998"/>
  </r>
  <r>
    <s v="FIN0043"/>
    <x v="39"/>
    <x v="2"/>
    <x v="15"/>
    <x v="9"/>
    <x v="4"/>
    <s v="Customer_71"/>
    <x v="1"/>
    <x v="1"/>
    <x v="31"/>
    <n v="67"/>
    <n v="43288"/>
    <x v="1"/>
    <n v="2900296"/>
    <n v="2442400"/>
    <n v="457896"/>
    <x v="0"/>
    <x v="2"/>
    <x v="1"/>
    <n v="39.527700000000003"/>
  </r>
  <r>
    <s v="FIN0044"/>
    <x v="40"/>
    <x v="4"/>
    <x v="1"/>
    <x v="17"/>
    <x v="4"/>
    <s v="Customer_48"/>
    <x v="3"/>
    <x v="2"/>
    <x v="32"/>
    <n v="95"/>
    <n v="24213"/>
    <x v="0"/>
    <n v="2070212"/>
    <n v="1500470"/>
    <n v="569742"/>
    <x v="1"/>
    <x v="1"/>
    <x v="2"/>
    <n v="13.5762"/>
  </r>
  <r>
    <s v="FIN0045"/>
    <x v="41"/>
    <x v="0"/>
    <x v="15"/>
    <x v="5"/>
    <x v="0"/>
    <s v="Customer_77"/>
    <x v="0"/>
    <x v="2"/>
    <x v="28"/>
    <n v="37"/>
    <n v="27244"/>
    <x v="1"/>
    <n v="1008028"/>
    <n v="649757"/>
    <n v="358271"/>
    <x v="0"/>
    <x v="1"/>
    <x v="2"/>
    <n v="49.277900000000002"/>
  </r>
  <r>
    <s v="FIN0046"/>
    <x v="42"/>
    <x v="0"/>
    <x v="4"/>
    <x v="12"/>
    <x v="1"/>
    <s v="Customer_12"/>
    <x v="1"/>
    <x v="0"/>
    <x v="33"/>
    <n v="87"/>
    <n v="40277"/>
    <x v="0"/>
    <n v="3153689"/>
    <n v="2569320"/>
    <n v="584370"/>
    <x v="2"/>
    <x v="1"/>
    <x v="0"/>
    <n v="19.6417"/>
  </r>
  <r>
    <s v="FIN0047"/>
    <x v="43"/>
    <x v="0"/>
    <x v="9"/>
    <x v="4"/>
    <x v="0"/>
    <s v="Customer_11"/>
    <x v="3"/>
    <x v="0"/>
    <x v="20"/>
    <n v="79"/>
    <n v="5043"/>
    <x v="4"/>
    <n v="0"/>
    <n v="0"/>
    <n v="0"/>
    <x v="0"/>
    <x v="2"/>
    <x v="0"/>
    <n v="3.2978999999999998"/>
  </r>
  <r>
    <s v="FIN0048"/>
    <x v="44"/>
    <x v="1"/>
    <x v="15"/>
    <x v="5"/>
    <x v="2"/>
    <s v="Customer_28"/>
    <x v="1"/>
    <x v="0"/>
    <x v="31"/>
    <n v="79"/>
    <n v="20206"/>
    <x v="3"/>
    <n v="364718"/>
    <n v="253949"/>
    <n v="110769"/>
    <x v="0"/>
    <x v="1"/>
    <x v="1"/>
    <n v="23.7774"/>
  </r>
  <r>
    <s v="FIN0049"/>
    <x v="45"/>
    <x v="2"/>
    <x v="10"/>
    <x v="1"/>
    <x v="2"/>
    <s v="Customer_63"/>
    <x v="2"/>
    <x v="1"/>
    <x v="34"/>
    <n v="79"/>
    <n v="34372"/>
    <x v="3"/>
    <n v="2579619"/>
    <n v="1304966"/>
    <n v="1274652"/>
    <x v="2"/>
    <x v="0"/>
    <x v="2"/>
    <n v="37.255200000000002"/>
  </r>
  <r>
    <s v="FIN0050"/>
    <x v="46"/>
    <x v="1"/>
    <x v="8"/>
    <x v="1"/>
    <x v="4"/>
    <s v="Customer_66"/>
    <x v="3"/>
    <x v="0"/>
    <x v="35"/>
    <n v="54"/>
    <n v="22295"/>
    <x v="3"/>
    <n v="1143734"/>
    <n v="679664"/>
    <n v="464070"/>
    <x v="2"/>
    <x v="0"/>
    <x v="1"/>
    <n v="59.599400000000003"/>
  </r>
  <r>
    <s v="FIN0053"/>
    <x v="47"/>
    <x v="2"/>
    <x v="7"/>
    <x v="8"/>
    <x v="4"/>
    <s v="Customer_69"/>
    <x v="3"/>
    <x v="1"/>
    <x v="36"/>
    <n v="82"/>
    <n v="43717"/>
    <x v="2"/>
    <n v="3047075"/>
    <n v="1830730"/>
    <n v="1216345"/>
    <x v="2"/>
    <x v="0"/>
    <x v="1"/>
    <n v="5.4478999999999997"/>
  </r>
  <r>
    <s v="FIN0054"/>
    <x v="48"/>
    <x v="1"/>
    <x v="12"/>
    <x v="4"/>
    <x v="2"/>
    <s v="Customer_19"/>
    <x v="0"/>
    <x v="2"/>
    <x v="29"/>
    <n v="82"/>
    <n v="20670"/>
    <x v="1"/>
    <n v="1694940"/>
    <n v="1203998"/>
    <n v="490942"/>
    <x v="1"/>
    <x v="0"/>
    <x v="1"/>
    <n v="52.915399999999998"/>
  </r>
  <r>
    <s v="FIN0055"/>
    <x v="49"/>
    <x v="0"/>
    <x v="9"/>
    <x v="12"/>
    <x v="1"/>
    <s v="Customer_6"/>
    <x v="2"/>
    <x v="2"/>
    <x v="13"/>
    <n v="57"/>
    <n v="19807"/>
    <x v="1"/>
    <n v="1128999"/>
    <n v="777676"/>
    <n v="351323"/>
    <x v="0"/>
    <x v="2"/>
    <x v="1"/>
    <n v="17.842400000000001"/>
  </r>
  <r>
    <s v="FIN0056"/>
    <x v="50"/>
    <x v="3"/>
    <x v="8"/>
    <x v="2"/>
    <x v="1"/>
    <s v="Customer_40"/>
    <x v="1"/>
    <x v="0"/>
    <x v="25"/>
    <n v="9"/>
    <n v="21959"/>
    <x v="1"/>
    <n v="197631"/>
    <n v="153459"/>
    <n v="44172"/>
    <x v="1"/>
    <x v="1"/>
    <x v="1"/>
    <n v="29.380600000000001"/>
  </r>
  <r>
    <s v="FIN0057"/>
    <x v="51"/>
    <x v="0"/>
    <x v="17"/>
    <x v="9"/>
    <x v="2"/>
    <s v="Customer_8"/>
    <x v="3"/>
    <x v="2"/>
    <x v="37"/>
    <n v="28"/>
    <n v="28177"/>
    <x v="1"/>
    <n v="788956"/>
    <n v="692062"/>
    <n v="96894"/>
    <x v="2"/>
    <x v="1"/>
    <x v="2"/>
    <n v="59.504399999999997"/>
  </r>
  <r>
    <s v="FIN0058"/>
    <x v="52"/>
    <x v="4"/>
    <x v="18"/>
    <x v="4"/>
    <x v="1"/>
    <s v="Customer_43"/>
    <x v="2"/>
    <x v="4"/>
    <x v="21"/>
    <n v="83"/>
    <n v="35688"/>
    <x v="1"/>
    <n v="2962104"/>
    <n v="2011690"/>
    <n v="950414"/>
    <x v="2"/>
    <x v="1"/>
    <x v="2"/>
    <n v="14.816000000000001"/>
  </r>
  <r>
    <s v="FIN0059"/>
    <x v="53"/>
    <x v="3"/>
    <x v="16"/>
    <x v="17"/>
    <x v="2"/>
    <s v="Customer_1"/>
    <x v="1"/>
    <x v="3"/>
    <x v="1"/>
    <n v="2"/>
    <n v="38910"/>
    <x v="0"/>
    <n v="70038"/>
    <n v="40539"/>
    <n v="29499"/>
    <x v="0"/>
    <x v="0"/>
    <x v="1"/>
    <n v="21.322199999999999"/>
  </r>
  <r>
    <s v="FIN0060"/>
    <x v="54"/>
    <x v="0"/>
    <x v="4"/>
    <x v="5"/>
    <x v="4"/>
    <s v="Customer_5"/>
    <x v="1"/>
    <x v="0"/>
    <x v="1"/>
    <n v="40"/>
    <n v="16597"/>
    <x v="1"/>
    <n v="663880"/>
    <n v="573426"/>
    <n v="90454"/>
    <x v="2"/>
    <x v="2"/>
    <x v="2"/>
    <n v="30.089200000000002"/>
  </r>
  <r>
    <s v="FIN0061"/>
    <x v="55"/>
    <x v="1"/>
    <x v="9"/>
    <x v="3"/>
    <x v="2"/>
    <s v="Customer_74"/>
    <x v="1"/>
    <x v="1"/>
    <x v="35"/>
    <n v="60"/>
    <n v="47960"/>
    <x v="1"/>
    <n v="2877600"/>
    <n v="1763536"/>
    <n v="1114064"/>
    <x v="2"/>
    <x v="0"/>
    <x v="2"/>
    <n v="39.064700000000002"/>
  </r>
  <r>
    <s v="FIN0062"/>
    <x v="56"/>
    <x v="1"/>
    <x v="9"/>
    <x v="16"/>
    <x v="4"/>
    <s v="Customer_25"/>
    <x v="3"/>
    <x v="2"/>
    <x v="14"/>
    <n v="100"/>
    <n v="47317"/>
    <x v="1"/>
    <n v="4731700"/>
    <n v="3380926"/>
    <n v="1350774"/>
    <x v="1"/>
    <x v="1"/>
    <x v="0"/>
    <n v="39.473999999999997"/>
  </r>
  <r>
    <s v="FIN0063"/>
    <x v="57"/>
    <x v="4"/>
    <x v="7"/>
    <x v="14"/>
    <x v="1"/>
    <s v="Customer_66"/>
    <x v="2"/>
    <x v="1"/>
    <x v="25"/>
    <n v="10"/>
    <n v="48905"/>
    <x v="1"/>
    <n v="489050"/>
    <n v="418664"/>
    <n v="70386"/>
    <x v="0"/>
    <x v="1"/>
    <x v="0"/>
    <n v="24.813300000000002"/>
  </r>
  <r>
    <s v="FIN0065"/>
    <x v="58"/>
    <x v="4"/>
    <x v="16"/>
    <x v="0"/>
    <x v="1"/>
    <s v="Customer_53"/>
    <x v="3"/>
    <x v="3"/>
    <x v="32"/>
    <n v="46"/>
    <n v="18277"/>
    <x v="3"/>
    <n v="798705"/>
    <n v="539665"/>
    <n v="259040"/>
    <x v="1"/>
    <x v="2"/>
    <x v="2"/>
    <n v="18.724599999999999"/>
  </r>
  <r>
    <s v="FIN0066"/>
    <x v="59"/>
    <x v="0"/>
    <x v="17"/>
    <x v="8"/>
    <x v="1"/>
    <s v="Customer_47"/>
    <x v="0"/>
    <x v="3"/>
    <x v="4"/>
    <n v="28"/>
    <n v="2445"/>
    <x v="0"/>
    <n v="61614"/>
    <n v="55112"/>
    <n v="6502"/>
    <x v="1"/>
    <x v="0"/>
    <x v="0"/>
    <n v="33.350999999999999"/>
  </r>
  <r>
    <s v="FIN0068"/>
    <x v="60"/>
    <x v="3"/>
    <x v="9"/>
    <x v="15"/>
    <x v="1"/>
    <s v="Customer_62"/>
    <x v="3"/>
    <x v="4"/>
    <x v="3"/>
    <n v="78"/>
    <n v="29498"/>
    <x v="0"/>
    <n v="2070760"/>
    <n v="1274140"/>
    <n v="796619"/>
    <x v="2"/>
    <x v="2"/>
    <x v="0"/>
    <n v="52.6693"/>
  </r>
  <r>
    <s v="FIN0069"/>
    <x v="61"/>
    <x v="2"/>
    <x v="5"/>
    <x v="6"/>
    <x v="3"/>
    <s v="Customer_71"/>
    <x v="3"/>
    <x v="4"/>
    <x v="38"/>
    <n v="27"/>
    <n v="26875"/>
    <x v="2"/>
    <n v="616781"/>
    <n v="482370"/>
    <n v="134411"/>
    <x v="1"/>
    <x v="2"/>
    <x v="0"/>
    <n v="1.0115000000000001"/>
  </r>
  <r>
    <s v="FIN0070"/>
    <x v="62"/>
    <x v="2"/>
    <x v="8"/>
    <x v="11"/>
    <x v="1"/>
    <s v="Customer_75"/>
    <x v="1"/>
    <x v="4"/>
    <x v="33"/>
    <n v="96"/>
    <n v="47601"/>
    <x v="2"/>
    <n v="3884242"/>
    <n v="3338522"/>
    <n v="545720"/>
    <x v="0"/>
    <x v="1"/>
    <x v="1"/>
    <n v="19.478400000000001"/>
  </r>
  <r>
    <s v="FIN0071"/>
    <x v="63"/>
    <x v="1"/>
    <x v="8"/>
    <x v="7"/>
    <x v="0"/>
    <s v="Customer_33"/>
    <x v="2"/>
    <x v="3"/>
    <x v="39"/>
    <n v="66"/>
    <n v="28271"/>
    <x v="1"/>
    <n v="1865886"/>
    <n v="1318775"/>
    <n v="547111"/>
    <x v="2"/>
    <x v="0"/>
    <x v="0"/>
    <n v="20.657800000000002"/>
  </r>
  <r>
    <s v="FIN0072"/>
    <x v="64"/>
    <x v="0"/>
    <x v="6"/>
    <x v="10"/>
    <x v="4"/>
    <s v="Customer_49"/>
    <x v="1"/>
    <x v="3"/>
    <x v="40"/>
    <n v="48"/>
    <n v="44591"/>
    <x v="2"/>
    <n v="1819313"/>
    <n v="1371819"/>
    <n v="447494"/>
    <x v="2"/>
    <x v="0"/>
    <x v="0"/>
    <n v="1.1237999999999999"/>
  </r>
  <r>
    <s v="FIN0074"/>
    <x v="65"/>
    <x v="0"/>
    <x v="3"/>
    <x v="4"/>
    <x v="1"/>
    <s v="Customer_8"/>
    <x v="1"/>
    <x v="4"/>
    <x v="8"/>
    <n v="60"/>
    <n v="40534"/>
    <x v="0"/>
    <n v="2188836"/>
    <n v="1619568"/>
    <n v="569268"/>
    <x v="2"/>
    <x v="0"/>
    <x v="0"/>
    <n v="24.148199999999999"/>
  </r>
  <r>
    <s v="FIN0075"/>
    <x v="66"/>
    <x v="2"/>
    <x v="4"/>
    <x v="8"/>
    <x v="1"/>
    <s v="Customer_73"/>
    <x v="0"/>
    <x v="0"/>
    <x v="20"/>
    <n v="89"/>
    <n v="12873"/>
    <x v="2"/>
    <n v="973842"/>
    <n v="638269"/>
    <n v="335573"/>
    <x v="1"/>
    <x v="1"/>
    <x v="0"/>
    <n v="28.620799999999999"/>
  </r>
  <r>
    <s v="FIN0076"/>
    <x v="67"/>
    <x v="0"/>
    <x v="12"/>
    <x v="12"/>
    <x v="1"/>
    <s v="Customer_42"/>
    <x v="0"/>
    <x v="2"/>
    <x v="41"/>
    <n v="36"/>
    <n v="35212"/>
    <x v="2"/>
    <n v="1077487"/>
    <n v="589038"/>
    <n v="488450"/>
    <x v="1"/>
    <x v="1"/>
    <x v="1"/>
    <n v="35.9589"/>
  </r>
  <r>
    <s v="FIN0077"/>
    <x v="68"/>
    <x v="4"/>
    <x v="3"/>
    <x v="15"/>
    <x v="1"/>
    <s v="Customer_69"/>
    <x v="1"/>
    <x v="3"/>
    <x v="27"/>
    <n v="39"/>
    <n v="32197"/>
    <x v="0"/>
    <n v="1130115"/>
    <n v="568282"/>
    <n v="561833"/>
    <x v="1"/>
    <x v="0"/>
    <x v="0"/>
    <n v="14.646699999999999"/>
  </r>
  <r>
    <s v="FIN0078"/>
    <x v="69"/>
    <x v="3"/>
    <x v="0"/>
    <x v="16"/>
    <x v="1"/>
    <s v="Customer_19"/>
    <x v="2"/>
    <x v="2"/>
    <x v="6"/>
    <n v="56"/>
    <n v="18606"/>
    <x v="1"/>
    <n v="1041936"/>
    <n v="926040"/>
    <n v="115896"/>
    <x v="0"/>
    <x v="2"/>
    <x v="1"/>
    <n v="23.503599999999999"/>
  </r>
  <r>
    <s v="FIN0079"/>
    <x v="70"/>
    <x v="2"/>
    <x v="10"/>
    <x v="12"/>
    <x v="3"/>
    <s v="Customer_73"/>
    <x v="3"/>
    <x v="1"/>
    <x v="2"/>
    <n v="87"/>
    <n v="45952"/>
    <x v="3"/>
    <n v="3797933"/>
    <n v="3259834"/>
    <n v="538099"/>
    <x v="0"/>
    <x v="2"/>
    <x v="0"/>
    <n v="4.43"/>
  </r>
  <r>
    <s v="FIN0080"/>
    <x v="71"/>
    <x v="4"/>
    <x v="7"/>
    <x v="14"/>
    <x v="0"/>
    <s v="Customer_14"/>
    <x v="1"/>
    <x v="0"/>
    <x v="25"/>
    <n v="70"/>
    <n v="43348"/>
    <x v="3"/>
    <n v="2882642"/>
    <n v="2249687"/>
    <n v="632955"/>
    <x v="0"/>
    <x v="2"/>
    <x v="2"/>
    <n v="54.741799999999998"/>
  </r>
  <r>
    <s v="FIN0081"/>
    <x v="72"/>
    <x v="0"/>
    <x v="4"/>
    <x v="16"/>
    <x v="3"/>
    <s v="Customer_4"/>
    <x v="3"/>
    <x v="2"/>
    <x v="26"/>
    <n v="81"/>
    <n v="48539"/>
    <x v="1"/>
    <n v="3931659"/>
    <n v="3003460"/>
    <n v="928199"/>
    <x v="0"/>
    <x v="2"/>
    <x v="0"/>
    <n v="44.631100000000004"/>
  </r>
  <r>
    <s v="FIN0082"/>
    <x v="73"/>
    <x v="1"/>
    <x v="18"/>
    <x v="0"/>
    <x v="2"/>
    <s v="Customer_22"/>
    <x v="0"/>
    <x v="2"/>
    <x v="37"/>
    <n v="75"/>
    <n v="8175"/>
    <x v="3"/>
    <n v="582469"/>
    <n v="523012"/>
    <n v="59457"/>
    <x v="1"/>
    <x v="0"/>
    <x v="1"/>
    <n v="42.825200000000002"/>
  </r>
  <r>
    <s v="FIN0083"/>
    <x v="74"/>
    <x v="0"/>
    <x v="12"/>
    <x v="12"/>
    <x v="1"/>
    <s v="Customer_10"/>
    <x v="3"/>
    <x v="2"/>
    <x v="10"/>
    <n v="76"/>
    <n v="38246"/>
    <x v="2"/>
    <n v="2470692"/>
    <n v="1378331"/>
    <n v="1092360"/>
    <x v="1"/>
    <x v="1"/>
    <x v="1"/>
    <n v="22.726500000000001"/>
  </r>
  <r>
    <s v="FIN0085"/>
    <x v="75"/>
    <x v="0"/>
    <x v="18"/>
    <x v="2"/>
    <x v="0"/>
    <s v="Customer_76"/>
    <x v="0"/>
    <x v="1"/>
    <x v="18"/>
    <n v="87"/>
    <n v="31735"/>
    <x v="3"/>
    <n v="2622898"/>
    <n v="1637560"/>
    <n v="985338"/>
    <x v="1"/>
    <x v="0"/>
    <x v="2"/>
    <n v="40.986400000000003"/>
  </r>
  <r>
    <s v="FIN0087"/>
    <x v="76"/>
    <x v="1"/>
    <x v="1"/>
    <x v="18"/>
    <x v="2"/>
    <s v="Customer_77"/>
    <x v="0"/>
    <x v="0"/>
    <x v="42"/>
    <n v="50"/>
    <n v="42095"/>
    <x v="0"/>
    <n v="1894275"/>
    <n v="1348412"/>
    <n v="545863"/>
    <x v="0"/>
    <x v="2"/>
    <x v="1"/>
    <n v="14.447699999999999"/>
  </r>
  <r>
    <s v="FIN0088"/>
    <x v="2"/>
    <x v="1"/>
    <x v="11"/>
    <x v="19"/>
    <x v="2"/>
    <s v="Customer_69"/>
    <x v="1"/>
    <x v="2"/>
    <x v="31"/>
    <n v="43"/>
    <n v="3320"/>
    <x v="3"/>
    <n v="135622"/>
    <n v="75796"/>
    <n v="59826"/>
    <x v="0"/>
    <x v="1"/>
    <x v="1"/>
    <n v="1.6547000000000001"/>
  </r>
  <r>
    <s v="FIN0089"/>
    <x v="77"/>
    <x v="2"/>
    <x v="7"/>
    <x v="15"/>
    <x v="1"/>
    <s v="Customer_25"/>
    <x v="0"/>
    <x v="4"/>
    <x v="3"/>
    <n v="70"/>
    <n v="1645"/>
    <x v="2"/>
    <n v="97878"/>
    <n v="86651"/>
    <n v="11226"/>
    <x v="2"/>
    <x v="2"/>
    <x v="2"/>
    <n v="27.9604"/>
  </r>
  <r>
    <s v="FIN0090"/>
    <x v="78"/>
    <x v="4"/>
    <x v="18"/>
    <x v="14"/>
    <x v="2"/>
    <s v="Customer_69"/>
    <x v="1"/>
    <x v="4"/>
    <x v="12"/>
    <n v="26"/>
    <n v="16648"/>
    <x v="1"/>
    <n v="432848"/>
    <n v="217036"/>
    <n v="215812"/>
    <x v="1"/>
    <x v="1"/>
    <x v="1"/>
    <n v="58.008299999999998"/>
  </r>
  <r>
    <s v="FIN0091"/>
    <x v="79"/>
    <x v="3"/>
    <x v="16"/>
    <x v="8"/>
    <x v="1"/>
    <s v="Customer_56"/>
    <x v="3"/>
    <x v="0"/>
    <x v="17"/>
    <n v="18"/>
    <n v="5635"/>
    <x v="1"/>
    <n v="101430"/>
    <n v="67739"/>
    <n v="33691"/>
    <x v="0"/>
    <x v="1"/>
    <x v="0"/>
    <n v="22.45"/>
  </r>
  <r>
    <s v="FIN0092"/>
    <x v="80"/>
    <x v="0"/>
    <x v="7"/>
    <x v="15"/>
    <x v="1"/>
    <s v="Customer_63"/>
    <x v="2"/>
    <x v="1"/>
    <x v="43"/>
    <n v="76"/>
    <n v="43471"/>
    <x v="1"/>
    <n v="3303796"/>
    <n v="2368677"/>
    <n v="935119"/>
    <x v="0"/>
    <x v="0"/>
    <x v="1"/>
    <n v="44.725200000000001"/>
  </r>
  <r>
    <s v="FIN0093"/>
    <x v="81"/>
    <x v="2"/>
    <x v="3"/>
    <x v="2"/>
    <x v="2"/>
    <s v="Customer_6"/>
    <x v="1"/>
    <x v="4"/>
    <x v="40"/>
    <n v="16"/>
    <n v="47178"/>
    <x v="3"/>
    <n v="717106"/>
    <n v="549515"/>
    <n v="167591"/>
    <x v="2"/>
    <x v="1"/>
    <x v="2"/>
    <n v="23.759599999999999"/>
  </r>
  <r>
    <s v="FIN0094"/>
    <x v="11"/>
    <x v="2"/>
    <x v="11"/>
    <x v="6"/>
    <x v="0"/>
    <s v="Customer_72"/>
    <x v="3"/>
    <x v="2"/>
    <x v="39"/>
    <n v="48"/>
    <n v="39602"/>
    <x v="3"/>
    <n v="1805851"/>
    <n v="1442199"/>
    <n v="363652"/>
    <x v="0"/>
    <x v="1"/>
    <x v="1"/>
    <n v="7.4280999999999997"/>
  </r>
  <r>
    <s v="FIN0095"/>
    <x v="82"/>
    <x v="2"/>
    <x v="4"/>
    <x v="14"/>
    <x v="0"/>
    <s v="Customer_43"/>
    <x v="2"/>
    <x v="0"/>
    <x v="35"/>
    <n v="15"/>
    <n v="23532"/>
    <x v="0"/>
    <n v="317682"/>
    <n v="220731"/>
    <n v="96951"/>
    <x v="0"/>
    <x v="2"/>
    <x v="0"/>
    <n v="27.099499999999999"/>
  </r>
  <r>
    <s v="FIN0096"/>
    <x v="83"/>
    <x v="4"/>
    <x v="1"/>
    <x v="9"/>
    <x v="4"/>
    <s v="Customer_45"/>
    <x v="0"/>
    <x v="1"/>
    <x v="32"/>
    <n v="44"/>
    <n v="16609"/>
    <x v="1"/>
    <n v="730796"/>
    <n v="421380"/>
    <n v="309416"/>
    <x v="0"/>
    <x v="1"/>
    <x v="2"/>
    <n v="39.883600000000001"/>
  </r>
  <r>
    <s v="FIN0097"/>
    <x v="84"/>
    <x v="3"/>
    <x v="16"/>
    <x v="12"/>
    <x v="0"/>
    <s v="Customer_46"/>
    <x v="2"/>
    <x v="0"/>
    <x v="36"/>
    <n v="18"/>
    <n v="5836"/>
    <x v="0"/>
    <n v="94543"/>
    <n v="51761"/>
    <n v="42782"/>
    <x v="1"/>
    <x v="1"/>
    <x v="1"/>
    <n v="23.484400000000001"/>
  </r>
  <r>
    <s v="FIN0098"/>
    <x v="85"/>
    <x v="1"/>
    <x v="4"/>
    <x v="13"/>
    <x v="1"/>
    <s v="Customer_69"/>
    <x v="2"/>
    <x v="3"/>
    <x v="13"/>
    <n v="18"/>
    <n v="8928"/>
    <x v="0"/>
    <n v="658886"/>
    <n v="466421"/>
    <n v="192465"/>
    <x v="0"/>
    <x v="2"/>
    <x v="2"/>
    <n v="23.954799999999999"/>
  </r>
  <r>
    <s v="FIN0099"/>
    <x v="86"/>
    <x v="4"/>
    <x v="3"/>
    <x v="12"/>
    <x v="1"/>
    <s v="Customer_21"/>
    <x v="2"/>
    <x v="0"/>
    <x v="22"/>
    <n v="91"/>
    <n v="48154"/>
    <x v="0"/>
    <n v="3943813"/>
    <n v="3072470"/>
    <n v="871343"/>
    <x v="1"/>
    <x v="2"/>
    <x v="1"/>
    <n v="36.365900000000003"/>
  </r>
  <r>
    <s v="FIN0100"/>
    <x v="87"/>
    <x v="3"/>
    <x v="2"/>
    <x v="0"/>
    <x v="2"/>
    <s v="Customer_53"/>
    <x v="2"/>
    <x v="1"/>
    <x v="12"/>
    <n v="91"/>
    <n v="26483"/>
    <x v="2"/>
    <n v="832890"/>
    <n v="629068"/>
    <n v="203822"/>
    <x v="0"/>
    <x v="1"/>
    <x v="1"/>
    <n v="38.831000000000003"/>
  </r>
  <r>
    <s v="FIN0101"/>
    <x v="88"/>
    <x v="3"/>
    <x v="14"/>
    <x v="2"/>
    <x v="1"/>
    <s v="Customer_62"/>
    <x v="1"/>
    <x v="0"/>
    <x v="36"/>
    <n v="30"/>
    <n v="16942"/>
    <x v="1"/>
    <n v="508260"/>
    <n v="279168"/>
    <n v="229092"/>
    <x v="2"/>
    <x v="2"/>
    <x v="0"/>
    <n v="46.0687"/>
  </r>
  <r>
    <s v="FIN0102"/>
    <x v="89"/>
    <x v="4"/>
    <x v="5"/>
    <x v="2"/>
    <x v="2"/>
    <s v="Customer_12"/>
    <x v="1"/>
    <x v="0"/>
    <x v="44"/>
    <n v="42"/>
    <n v="11511"/>
    <x v="1"/>
    <n v="483462"/>
    <n v="302864"/>
    <n v="180598"/>
    <x v="2"/>
    <x v="0"/>
    <x v="0"/>
    <n v="3.7624"/>
  </r>
  <r>
    <s v="FIN0103"/>
    <x v="90"/>
    <x v="3"/>
    <x v="12"/>
    <x v="2"/>
    <x v="0"/>
    <s v="Customer_28"/>
    <x v="0"/>
    <x v="0"/>
    <x v="37"/>
    <n v="31"/>
    <n v="11119"/>
    <x v="1"/>
    <n v="344689"/>
    <n v="181189"/>
    <n v="163500"/>
    <x v="2"/>
    <x v="2"/>
    <x v="2"/>
    <n v="41.762799999999999"/>
  </r>
  <r>
    <s v="FIN0104"/>
    <x v="91"/>
    <x v="3"/>
    <x v="6"/>
    <x v="14"/>
    <x v="4"/>
    <s v="Customer_65"/>
    <x v="0"/>
    <x v="0"/>
    <x v="5"/>
    <n v="47"/>
    <n v="43828"/>
    <x v="2"/>
    <n v="1750929"/>
    <n v="1010495"/>
    <n v="740433"/>
    <x v="1"/>
    <x v="1"/>
    <x v="1"/>
    <n v="1.8987000000000001"/>
  </r>
  <r>
    <s v="FIN0107"/>
    <x v="92"/>
    <x v="4"/>
    <x v="13"/>
    <x v="15"/>
    <x v="0"/>
    <s v="Customer_23"/>
    <x v="1"/>
    <x v="0"/>
    <x v="33"/>
    <n v="62"/>
    <n v="17711"/>
    <x v="2"/>
    <n v="933370"/>
    <n v="666477"/>
    <n v="266893"/>
    <x v="2"/>
    <x v="2"/>
    <x v="1"/>
    <n v="9.7669999999999995"/>
  </r>
  <r>
    <s v="FIN0108"/>
    <x v="93"/>
    <x v="1"/>
    <x v="18"/>
    <x v="18"/>
    <x v="2"/>
    <s v="Customer_75"/>
    <x v="0"/>
    <x v="4"/>
    <x v="11"/>
    <n v="2"/>
    <n v="10612"/>
    <x v="0"/>
    <n v="19102"/>
    <n v="13520"/>
    <n v="5581"/>
    <x v="1"/>
    <x v="2"/>
    <x v="2"/>
    <n v="10.146000000000001"/>
  </r>
  <r>
    <s v="FIN0109"/>
    <x v="94"/>
    <x v="0"/>
    <x v="10"/>
    <x v="18"/>
    <x v="0"/>
    <s v="Customer_1"/>
    <x v="1"/>
    <x v="1"/>
    <x v="40"/>
    <n v="87"/>
    <n v="3099"/>
    <x v="3"/>
    <n v="256132"/>
    <n v="168075"/>
    <n v="88057"/>
    <x v="1"/>
    <x v="2"/>
    <x v="1"/>
    <n v="48.762799999999999"/>
  </r>
  <r>
    <s v="FIN0110"/>
    <x v="95"/>
    <x v="0"/>
    <x v="8"/>
    <x v="8"/>
    <x v="4"/>
    <s v="Customer_60"/>
    <x v="0"/>
    <x v="0"/>
    <x v="11"/>
    <n v="27"/>
    <n v="4235"/>
    <x v="1"/>
    <n v="114345"/>
    <n v="85675"/>
    <n v="28670"/>
    <x v="1"/>
    <x v="0"/>
    <x v="2"/>
    <n v="16.4146"/>
  </r>
  <r>
    <s v="FIN0111"/>
    <x v="96"/>
    <x v="4"/>
    <x v="5"/>
    <x v="11"/>
    <x v="2"/>
    <s v="Customer_51"/>
    <x v="2"/>
    <x v="2"/>
    <x v="37"/>
    <n v="7"/>
    <n v="5403"/>
    <x v="3"/>
    <n v="35930"/>
    <n v="31453"/>
    <n v="4477"/>
    <x v="2"/>
    <x v="2"/>
    <x v="2"/>
    <n v="11.2895"/>
  </r>
  <r>
    <s v="FIN0112"/>
    <x v="97"/>
    <x v="0"/>
    <x v="19"/>
    <x v="3"/>
    <x v="2"/>
    <s v="Customer_6"/>
    <x v="3"/>
    <x v="4"/>
    <x v="12"/>
    <n v="94"/>
    <n v="35597"/>
    <x v="0"/>
    <n v="3011506"/>
    <n v="1659341"/>
    <n v="1352165"/>
    <x v="0"/>
    <x v="2"/>
    <x v="2"/>
    <n v="55.952399999999997"/>
  </r>
  <r>
    <s v="FIN0113"/>
    <x v="98"/>
    <x v="4"/>
    <x v="15"/>
    <x v="8"/>
    <x v="2"/>
    <s v="Customer_8"/>
    <x v="2"/>
    <x v="0"/>
    <x v="28"/>
    <n v="-4"/>
    <n v="44603"/>
    <x v="1"/>
    <n v="-178412"/>
    <n v="115102"/>
    <n v="-293514"/>
    <x v="0"/>
    <x v="1"/>
    <x v="0"/>
    <n v="2.0629"/>
  </r>
  <r>
    <s v="FIN0114"/>
    <x v="99"/>
    <x v="2"/>
    <x v="11"/>
    <x v="16"/>
    <x v="2"/>
    <s v="Customer_44"/>
    <x v="0"/>
    <x v="1"/>
    <x v="44"/>
    <n v="56"/>
    <n v="14307"/>
    <x v="1"/>
    <n v="801192"/>
    <n v="646147"/>
    <n v="155045"/>
    <x v="2"/>
    <x v="1"/>
    <x v="2"/>
    <n v="5.7293000000000003"/>
  </r>
  <r>
    <s v="FIN0117"/>
    <x v="100"/>
    <x v="4"/>
    <x v="6"/>
    <x v="8"/>
    <x v="3"/>
    <s v="Customer_3"/>
    <x v="1"/>
    <x v="3"/>
    <x v="34"/>
    <n v="4"/>
    <n v="31439"/>
    <x v="1"/>
    <n v="125756"/>
    <n v="112417"/>
    <n v="13339"/>
    <x v="2"/>
    <x v="1"/>
    <x v="1"/>
    <n v="57.0473"/>
  </r>
  <r>
    <s v="FIN0118"/>
    <x v="101"/>
    <x v="0"/>
    <x v="12"/>
    <x v="10"/>
    <x v="1"/>
    <s v="Customer_6"/>
    <x v="1"/>
    <x v="1"/>
    <x v="12"/>
    <n v="67"/>
    <n v="46810"/>
    <x v="1"/>
    <n v="3136270"/>
    <n v="2176714"/>
    <n v="959556"/>
    <x v="0"/>
    <x v="2"/>
    <x v="0"/>
    <n v="27.546600000000002"/>
  </r>
  <r>
    <s v="FIN0119"/>
    <x v="102"/>
    <x v="3"/>
    <x v="19"/>
    <x v="5"/>
    <x v="3"/>
    <s v="Customer_13"/>
    <x v="1"/>
    <x v="2"/>
    <x v="35"/>
    <n v="78"/>
    <n v="17445"/>
    <x v="3"/>
    <n v="1292674"/>
    <n v="872943"/>
    <n v="419731"/>
    <x v="1"/>
    <x v="0"/>
    <x v="1"/>
    <n v="42.8187"/>
  </r>
  <r>
    <s v="FIN0120"/>
    <x v="103"/>
    <x v="2"/>
    <x v="19"/>
    <x v="3"/>
    <x v="3"/>
    <s v="Customer_75"/>
    <x v="0"/>
    <x v="2"/>
    <x v="29"/>
    <n v="64"/>
    <n v="6019"/>
    <x v="3"/>
    <n v="365955"/>
    <n v="231655"/>
    <n v="134300"/>
    <x v="1"/>
    <x v="1"/>
    <x v="0"/>
    <n v="52.626100000000001"/>
  </r>
  <r>
    <s v="FIN0121"/>
    <x v="104"/>
    <x v="4"/>
    <x v="10"/>
    <x v="4"/>
    <x v="3"/>
    <s v="Customer_34"/>
    <x v="3"/>
    <x v="2"/>
    <x v="45"/>
    <n v="57"/>
    <n v="2608"/>
    <x v="0"/>
    <n v="133790"/>
    <n v="104220"/>
    <n v="29570"/>
    <x v="2"/>
    <x v="0"/>
    <x v="1"/>
    <n v="52.451500000000003"/>
  </r>
  <r>
    <s v="FIN0122"/>
    <x v="105"/>
    <x v="3"/>
    <x v="18"/>
    <x v="4"/>
    <x v="1"/>
    <s v="Customer_71"/>
    <x v="2"/>
    <x v="2"/>
    <x v="1"/>
    <n v="37"/>
    <n v="12322"/>
    <x v="1"/>
    <n v="455914"/>
    <n v="275551"/>
    <n v="180363"/>
    <x v="2"/>
    <x v="2"/>
    <x v="2"/>
    <n v="34.430799999999998"/>
  </r>
  <r>
    <s v="FIN0123"/>
    <x v="106"/>
    <x v="3"/>
    <x v="3"/>
    <x v="10"/>
    <x v="2"/>
    <s v="Customer_51"/>
    <x v="2"/>
    <x v="2"/>
    <x v="20"/>
    <n v="61"/>
    <n v="32962"/>
    <x v="0"/>
    <n v="1809614"/>
    <n v="1187097"/>
    <n v="622517"/>
    <x v="2"/>
    <x v="2"/>
    <x v="1"/>
    <n v="15.529199999999999"/>
  </r>
  <r>
    <s v="FIN0124"/>
    <x v="107"/>
    <x v="4"/>
    <x v="7"/>
    <x v="14"/>
    <x v="4"/>
    <s v="Customer_40"/>
    <x v="1"/>
    <x v="1"/>
    <x v="42"/>
    <n v="51"/>
    <n v="13324"/>
    <x v="1"/>
    <n v="679524"/>
    <n v="497716"/>
    <n v="181808"/>
    <x v="1"/>
    <x v="1"/>
    <x v="2"/>
    <n v="7.0125999999999999"/>
  </r>
  <r>
    <s v="FIN0125"/>
    <x v="108"/>
    <x v="1"/>
    <x v="11"/>
    <x v="11"/>
    <x v="2"/>
    <s v="Customer_47"/>
    <x v="1"/>
    <x v="0"/>
    <x v="24"/>
    <n v="23"/>
    <n v="45010"/>
    <x v="1"/>
    <n v="1035230"/>
    <n v="791384"/>
    <n v="243846"/>
    <x v="1"/>
    <x v="2"/>
    <x v="1"/>
    <n v="57.371499999999997"/>
  </r>
  <r>
    <s v="FIN0126"/>
    <x v="109"/>
    <x v="4"/>
    <x v="8"/>
    <x v="15"/>
    <x v="3"/>
    <s v="Customer_13"/>
    <x v="0"/>
    <x v="2"/>
    <x v="3"/>
    <n v="85"/>
    <n v="12772"/>
    <x v="1"/>
    <n v="1085620"/>
    <n v="629242"/>
    <n v="456378"/>
    <x v="1"/>
    <x v="1"/>
    <x v="1"/>
    <n v="43.050899999999999"/>
  </r>
  <r>
    <s v="FIN0129"/>
    <x v="110"/>
    <x v="2"/>
    <x v="10"/>
    <x v="0"/>
    <x v="1"/>
    <s v="Customer_39"/>
    <x v="1"/>
    <x v="4"/>
    <x v="12"/>
    <n v="18"/>
    <n v="37024"/>
    <x v="2"/>
    <n v="566467"/>
    <n v="387300"/>
    <n v="179167"/>
    <x v="0"/>
    <x v="1"/>
    <x v="2"/>
    <n v="32.735999999999997"/>
  </r>
  <r>
    <s v="FIN0130"/>
    <x v="12"/>
    <x v="3"/>
    <x v="4"/>
    <x v="17"/>
    <x v="1"/>
    <s v="Customer_61"/>
    <x v="1"/>
    <x v="4"/>
    <x v="23"/>
    <n v="75"/>
    <n v="19705"/>
    <x v="3"/>
    <n v="1403981"/>
    <n v="1086694"/>
    <n v="317287"/>
    <x v="2"/>
    <x v="2"/>
    <x v="0"/>
    <n v="35.824300000000001"/>
  </r>
  <r>
    <s v="FIN0132"/>
    <x v="111"/>
    <x v="4"/>
    <x v="1"/>
    <x v="19"/>
    <x v="1"/>
    <s v="Customer_72"/>
    <x v="1"/>
    <x v="1"/>
    <x v="35"/>
    <n v="31"/>
    <n v="14286"/>
    <x v="0"/>
    <n v="398579"/>
    <n v="321255"/>
    <n v="77325"/>
    <x v="1"/>
    <x v="2"/>
    <x v="0"/>
    <n v="58.116700000000002"/>
  </r>
  <r>
    <s v="FIN0133"/>
    <x v="112"/>
    <x v="3"/>
    <x v="1"/>
    <x v="4"/>
    <x v="1"/>
    <s v="Customer_21"/>
    <x v="2"/>
    <x v="2"/>
    <x v="35"/>
    <n v="41"/>
    <n v="13483"/>
    <x v="1"/>
    <n v="552803"/>
    <n v="350133"/>
    <n v="202670"/>
    <x v="0"/>
    <x v="0"/>
    <x v="0"/>
    <n v="51.7044"/>
  </r>
  <r>
    <s v="FIN0134"/>
    <x v="113"/>
    <x v="4"/>
    <x v="3"/>
    <x v="1"/>
    <x v="4"/>
    <s v="Customer_41"/>
    <x v="1"/>
    <x v="0"/>
    <x v="0"/>
    <n v="78"/>
    <n v="37051"/>
    <x v="0"/>
    <n v="2600980"/>
    <n v="1832139"/>
    <n v="768841"/>
    <x v="2"/>
    <x v="2"/>
    <x v="2"/>
    <n v="51.935299999999998"/>
  </r>
  <r>
    <s v="FIN0135"/>
    <x v="114"/>
    <x v="0"/>
    <x v="1"/>
    <x v="11"/>
    <x v="3"/>
    <s v="Customer_32"/>
    <x v="3"/>
    <x v="2"/>
    <x v="38"/>
    <n v="96"/>
    <n v="30308"/>
    <x v="0"/>
    <n v="2618611"/>
    <n v="2347817"/>
    <n v="270794"/>
    <x v="1"/>
    <x v="2"/>
    <x v="2"/>
    <n v="3.9607999999999999"/>
  </r>
  <r>
    <s v="FIN0136"/>
    <x v="115"/>
    <x v="3"/>
    <x v="8"/>
    <x v="1"/>
    <x v="0"/>
    <s v="Customer_57"/>
    <x v="0"/>
    <x v="4"/>
    <x v="5"/>
    <n v="53"/>
    <n v="13342"/>
    <x v="0"/>
    <n v="636413"/>
    <n v="559967"/>
    <n v="76446"/>
    <x v="0"/>
    <x v="2"/>
    <x v="0"/>
    <n v="58.1676"/>
  </r>
  <r>
    <s v="FIN0138"/>
    <x v="116"/>
    <x v="2"/>
    <x v="0"/>
    <x v="15"/>
    <x v="1"/>
    <s v="Customer_10"/>
    <x v="1"/>
    <x v="0"/>
    <x v="22"/>
    <n v="26"/>
    <n v="46329"/>
    <x v="2"/>
    <n v="1023871"/>
    <n v="738210"/>
    <n v="285660"/>
    <x v="0"/>
    <x v="0"/>
    <x v="0"/>
    <n v="32.226599999999998"/>
  </r>
  <r>
    <s v="FIN0139"/>
    <x v="117"/>
    <x v="1"/>
    <x v="8"/>
    <x v="14"/>
    <x v="2"/>
    <s v="Customer_38"/>
    <x v="1"/>
    <x v="1"/>
    <x v="7"/>
    <n v="71"/>
    <n v="8284"/>
    <x v="2"/>
    <n v="499939"/>
    <n v="281247"/>
    <n v="218692"/>
    <x v="0"/>
    <x v="1"/>
    <x v="0"/>
    <n v="44.1952"/>
  </r>
  <r>
    <s v="FIN0140"/>
    <x v="118"/>
    <x v="0"/>
    <x v="1"/>
    <x v="19"/>
    <x v="1"/>
    <s v="Customer_25"/>
    <x v="3"/>
    <x v="2"/>
    <x v="33"/>
    <n v="1"/>
    <n v="1071"/>
    <x v="3"/>
    <n v="1017"/>
    <n v="518"/>
    <n v="500"/>
    <x v="0"/>
    <x v="0"/>
    <x v="2"/>
    <n v="17.6708"/>
  </r>
  <r>
    <s v="FIN0141"/>
    <x v="76"/>
    <x v="1"/>
    <x v="8"/>
    <x v="10"/>
    <x v="0"/>
    <s v="Customer_40"/>
    <x v="3"/>
    <x v="0"/>
    <x v="29"/>
    <n v="40"/>
    <n v="4700"/>
    <x v="3"/>
    <n v="178600"/>
    <n v="132870"/>
    <n v="45730"/>
    <x v="0"/>
    <x v="1"/>
    <x v="2"/>
    <n v="17.655899999999999"/>
  </r>
  <r>
    <s v="FIN0142"/>
    <x v="107"/>
    <x v="2"/>
    <x v="11"/>
    <x v="10"/>
    <x v="2"/>
    <s v="Customer_53"/>
    <x v="2"/>
    <x v="4"/>
    <x v="35"/>
    <n v="3"/>
    <n v="36996"/>
    <x v="3"/>
    <n v="105439"/>
    <n v="76773"/>
    <n v="28665"/>
    <x v="0"/>
    <x v="0"/>
    <x v="1"/>
    <n v="59.777500000000003"/>
  </r>
  <r>
    <s v="FIN0143"/>
    <x v="119"/>
    <x v="3"/>
    <x v="5"/>
    <x v="0"/>
    <x v="0"/>
    <s v="Customer_26"/>
    <x v="3"/>
    <x v="3"/>
    <x v="4"/>
    <n v="37"/>
    <n v="21286"/>
    <x v="1"/>
    <n v="787582"/>
    <n v="698884"/>
    <n v="88698"/>
    <x v="2"/>
    <x v="2"/>
    <x v="0"/>
    <n v="25.668399999999998"/>
  </r>
  <r>
    <s v="FIN0144"/>
    <x v="120"/>
    <x v="4"/>
    <x v="11"/>
    <x v="17"/>
    <x v="4"/>
    <s v="Customer_79"/>
    <x v="2"/>
    <x v="4"/>
    <x v="1"/>
    <n v="31"/>
    <n v="24595"/>
    <x v="1"/>
    <n v="762445"/>
    <n v="606905"/>
    <n v="155540"/>
    <x v="0"/>
    <x v="2"/>
    <x v="1"/>
    <n v="57.313499999999998"/>
  </r>
  <r>
    <s v="FIN0145"/>
    <x v="121"/>
    <x v="2"/>
    <x v="14"/>
    <x v="16"/>
    <x v="2"/>
    <s v="Customer_31"/>
    <x v="3"/>
    <x v="4"/>
    <x v="8"/>
    <n v="9"/>
    <n v="33839"/>
    <x v="0"/>
    <n v="274096"/>
    <n v="229602"/>
    <n v="44494"/>
    <x v="1"/>
    <x v="1"/>
    <x v="0"/>
    <n v="50.594700000000003"/>
  </r>
  <r>
    <s v="FIN0146"/>
    <x v="122"/>
    <x v="3"/>
    <x v="14"/>
    <x v="10"/>
    <x v="0"/>
    <s v="Customer_68"/>
    <x v="0"/>
    <x v="3"/>
    <x v="3"/>
    <n v="85"/>
    <n v="28459"/>
    <x v="0"/>
    <n v="2177114"/>
    <n v="1918255"/>
    <n v="258859"/>
    <x v="2"/>
    <x v="2"/>
    <x v="1"/>
    <n v="4.4264999999999999"/>
  </r>
  <r>
    <s v="FIN0147"/>
    <x v="123"/>
    <x v="4"/>
    <x v="3"/>
    <x v="3"/>
    <x v="3"/>
    <s v="Customer_15"/>
    <x v="0"/>
    <x v="4"/>
    <x v="26"/>
    <n v="21"/>
    <n v="45266"/>
    <x v="3"/>
    <n v="903057"/>
    <n v="805050"/>
    <n v="98006"/>
    <x v="0"/>
    <x v="0"/>
    <x v="1"/>
    <n v="35.375300000000003"/>
  </r>
  <r>
    <s v="FIN0148"/>
    <x v="124"/>
    <x v="4"/>
    <x v="17"/>
    <x v="4"/>
    <x v="3"/>
    <s v="Customer_69"/>
    <x v="1"/>
    <x v="0"/>
    <x v="13"/>
    <n v="14"/>
    <n v="13361"/>
    <x v="1"/>
    <n v="187054"/>
    <n v="129047"/>
    <n v="58007"/>
    <x v="2"/>
    <x v="0"/>
    <x v="1"/>
    <n v="44.822499999999998"/>
  </r>
  <r>
    <s v="FIN0149"/>
    <x v="125"/>
    <x v="2"/>
    <x v="10"/>
    <x v="10"/>
    <x v="1"/>
    <s v="Customer_39"/>
    <x v="2"/>
    <x v="3"/>
    <x v="41"/>
    <n v="77"/>
    <n v="18697"/>
    <x v="2"/>
    <n v="1223719"/>
    <n v="949200"/>
    <n v="274519"/>
    <x v="1"/>
    <x v="1"/>
    <x v="2"/>
    <n v="39.186900000000001"/>
  </r>
  <r>
    <s v="FIN0150"/>
    <x v="126"/>
    <x v="0"/>
    <x v="9"/>
    <x v="19"/>
    <x v="3"/>
    <s v="Customer_29"/>
    <x v="3"/>
    <x v="2"/>
    <x v="5"/>
    <n v="25"/>
    <n v="2974"/>
    <x v="0"/>
    <n v="66915"/>
    <n v="35271"/>
    <n v="31644"/>
    <x v="0"/>
    <x v="1"/>
    <x v="0"/>
    <n v="30.3482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BC7211-A7BB-46BD-A05E-EC4A9ADF746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fieldListSortAscending="1">
  <location ref="G5:I18" firstHeaderRow="0" firstDataRow="1" firstDataCol="1"/>
  <pivotFields count="27">
    <pivotField showAll="0"/>
    <pivotField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showAll="0">
      <items count="6">
        <item x="2"/>
        <item x="3"/>
        <item x="4"/>
        <item x="1"/>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h="1" sd="0" x="4"/>
        <item h="1" sd="0" x="5"/>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Revenue Trend" fld="13" baseField="24" baseItem="1"/>
    <dataField name="Sum of Profit" fld="15" baseField="0" baseItem="0"/>
  </dataFields>
  <chartFormats count="5">
    <chartFormat chart="16"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B7FF93-3835-405E-A0FC-8632FF3E2865}"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fieldListSortAscending="1">
  <location ref="A18:C23" firstHeaderRow="0" firstDataRow="1" firstDataCol="1"/>
  <pivotFields count="27">
    <pivotField showAll="0"/>
    <pivotField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showAll="0">
      <items count="6">
        <item x="2"/>
        <item x="3"/>
        <item x="4"/>
        <item x="1"/>
        <item x="0"/>
        <item t="default"/>
      </items>
    </pivotField>
    <pivotField axis="axisRow" showAll="0" measureFilter="1">
      <items count="21">
        <item x="9"/>
        <item x="10"/>
        <item x="15"/>
        <item x="19"/>
        <item x="16"/>
        <item x="8"/>
        <item x="14"/>
        <item x="0"/>
        <item x="17"/>
        <item x="18"/>
        <item x="13"/>
        <item x="6"/>
        <item x="7"/>
        <item x="5"/>
        <item x="11"/>
        <item x="4"/>
        <item x="2"/>
        <item x="12"/>
        <item x="3"/>
        <item x="1"/>
        <item t="default"/>
      </items>
    </pivotField>
    <pivotField showAll="0"/>
    <pivotField showAll="0"/>
    <pivotField showAll="0"/>
    <pivotField showAll="0"/>
    <pivotField showAll="0">
      <items count="6">
        <item x="0"/>
        <item x="4"/>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h="1" sd="0" x="4"/>
        <item h="1" sd="0" x="5"/>
        <item t="default"/>
      </items>
    </pivotField>
  </pivotFields>
  <rowFields count="1">
    <field x="3"/>
  </rowFields>
  <rowItems count="5">
    <i>
      <x/>
    </i>
    <i>
      <x v="5"/>
    </i>
    <i>
      <x v="12"/>
    </i>
    <i>
      <x v="15"/>
    </i>
    <i>
      <x v="18"/>
    </i>
  </rowItems>
  <colFields count="1">
    <field x="-2"/>
  </colFields>
  <colItems count="2">
    <i>
      <x/>
    </i>
    <i i="1">
      <x v="1"/>
    </i>
  </colItems>
  <dataFields count="2">
    <dataField name="Revenue Trend" fld="13" baseField="24" baseItem="1" numFmtId="165"/>
    <dataField name="% of Total" fld="13" showDataAs="percentOfTotal" baseField="0" baseItem="0" numFmtId="10"/>
  </dataFields>
  <formats count="1">
    <format dxfId="223">
      <pivotArea outline="0" collapsedLevelsAreSubtotals="1" fieldPosition="0">
        <references count="1">
          <reference field="4294967294" count="1" selected="0">
            <x v="0"/>
          </reference>
        </references>
      </pivotArea>
    </format>
  </formats>
  <chartFormats count="1">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5A1B8-1CA3-4F4B-A4DE-36CEB855DB8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fieldListSortAscending="1">
  <location ref="E4:F8" firstHeaderRow="1" firstDataRow="1" firstDataCol="1"/>
  <pivotFields count="27">
    <pivotField showAll="0"/>
    <pivotField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showAll="0">
      <items count="6">
        <item x="2"/>
        <item x="3"/>
        <item x="4"/>
        <item x="1"/>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 showAll="0"/>
    <pivotField showAll="0"/>
    <pivotField dataField="1" showAll="0"/>
    <pivotField showAll="0"/>
    <pivotField showAll="0"/>
    <pivotField axis="axisRow" showAll="0">
      <items count="4">
        <item x="2"/>
        <item x="0"/>
        <item x="1"/>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h="1" sd="0" x="4"/>
        <item h="1" sd="0" x="5"/>
        <item t="default"/>
      </items>
    </pivotField>
  </pivotFields>
  <rowFields count="1">
    <field x="16"/>
  </rowFields>
  <rowItems count="4">
    <i>
      <x/>
    </i>
    <i>
      <x v="1"/>
    </i>
    <i>
      <x v="2"/>
    </i>
    <i t="grand">
      <x/>
    </i>
  </rowItems>
  <colItems count="1">
    <i/>
  </colItems>
  <dataFields count="1">
    <dataField name="Revenue Trend" fld="13" baseField="24" baseItem="1" numFmtId="165"/>
  </dataFields>
  <formats count="1">
    <format dxfId="224">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16" count="1" selected="0">
            <x v="0"/>
          </reference>
        </references>
      </pivotArea>
    </chartFormat>
    <chartFormat chart="36" format="15">
      <pivotArea type="data" outline="0" fieldPosition="0">
        <references count="2">
          <reference field="4294967294" count="1" selected="0">
            <x v="0"/>
          </reference>
          <reference field="16" count="1" selected="0">
            <x v="1"/>
          </reference>
        </references>
      </pivotArea>
    </chartFormat>
    <chartFormat chart="36"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4900B6-25D2-495A-A834-B1CCE0332F6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fieldListSortAscending="1">
  <location ref="C4:D10" firstHeaderRow="1" firstDataRow="1" firstDataCol="1"/>
  <pivotFields count="27">
    <pivotField showAll="0"/>
    <pivotField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axis="axisRow" showAll="0">
      <items count="6">
        <item x="2"/>
        <item x="3"/>
        <item x="4"/>
        <item x="1"/>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h="1" sd="0" x="4"/>
        <item h="1" sd="0" x="5"/>
        <item t="default"/>
      </items>
    </pivotField>
  </pivotFields>
  <rowFields count="1">
    <field x="2"/>
  </rowFields>
  <rowItems count="6">
    <i>
      <x/>
    </i>
    <i>
      <x v="1"/>
    </i>
    <i>
      <x v="2"/>
    </i>
    <i>
      <x v="3"/>
    </i>
    <i>
      <x v="4"/>
    </i>
    <i t="grand">
      <x/>
    </i>
  </rowItems>
  <colItems count="1">
    <i/>
  </colItems>
  <dataFields count="1">
    <dataField name="Revenue Trend" fld="13" baseField="24" baseItem="1" numFmtId="165"/>
  </dataFields>
  <formats count="1">
    <format dxfId="225">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4A3292-0DC5-4AA2-9C0C-66248E8708F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fieldListSortAscending="1">
  <location ref="A4:B17" firstHeaderRow="1" firstDataRow="1" firstDataCol="1"/>
  <pivotFields count="27">
    <pivotField showAll="0"/>
    <pivotField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showAll="0">
      <items count="6">
        <item x="2"/>
        <item x="3"/>
        <item x="4"/>
        <item x="1"/>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h="1" sd="0" x="4"/>
        <item h="1" sd="0" x="5"/>
        <item t="default"/>
      </items>
    </pivotField>
  </pivotFields>
  <rowFields count="2">
    <field x="24"/>
    <field x="26"/>
  </rowFields>
  <rowItems count="13">
    <i>
      <x v="1"/>
    </i>
    <i>
      <x v="2"/>
    </i>
    <i>
      <x v="3"/>
    </i>
    <i>
      <x v="4"/>
    </i>
    <i>
      <x v="5"/>
    </i>
    <i>
      <x v="6"/>
    </i>
    <i>
      <x v="7"/>
    </i>
    <i>
      <x v="8"/>
    </i>
    <i>
      <x v="9"/>
    </i>
    <i>
      <x v="10"/>
    </i>
    <i>
      <x v="11"/>
    </i>
    <i>
      <x v="12"/>
    </i>
    <i t="grand">
      <x/>
    </i>
  </rowItems>
  <colItems count="1">
    <i/>
  </colItems>
  <dataFields count="1">
    <dataField name="Revenue Trend" fld="13" baseField="24" baseItem="1"/>
  </dataFields>
  <chartFormats count="1">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1B915B-EA55-4EDA-90B6-E9104C22920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A1:E2" firstHeaderRow="0" firstDataRow="1" firstDataCol="0"/>
  <pivotFields count="27">
    <pivotField dataField="1" showAll="0"/>
    <pivotField dataField="1"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showAll="0">
      <items count="6">
        <item x="2"/>
        <item x="3"/>
        <item x="4"/>
        <item x="1"/>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Fields count="1">
    <field x="-2"/>
  </colFields>
  <colItems count="5">
    <i>
      <x/>
    </i>
    <i i="1">
      <x v="1"/>
    </i>
    <i i="2">
      <x v="2"/>
    </i>
    <i i="3">
      <x v="3"/>
    </i>
    <i i="4">
      <x v="4"/>
    </i>
  </colItems>
  <dataFields count="5">
    <dataField name="Sum of Revenue" fld="13" baseField="0" baseItem="0" numFmtId="165"/>
    <dataField name="Sum of Profit" fld="15" baseField="0" baseItem="0" numFmtId="165"/>
    <dataField name="Count of Transaction_Date" fld="1" subtotal="count" baseField="0" baseItem="0"/>
    <dataField name="Sum of Profit Margin" fld="20" baseField="0" baseItem="0" numFmtId="9"/>
    <dataField name="Count of Transaction_ID" fld="0" subtotal="count" baseField="0" baseItem="0"/>
  </dataFields>
  <formats count="2">
    <format dxfId="226">
      <pivotArea outline="0" collapsedLevelsAreSubtotals="1" fieldPosition="0">
        <references count="1">
          <reference field="4294967294" count="1" selected="0">
            <x v="3"/>
          </reference>
        </references>
      </pivotArea>
    </format>
    <format dxfId="227">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873342-A759-487E-9DCA-013CFEABF8F1}"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fieldListSortAscending="1">
  <location ref="D18:F23" firstHeaderRow="0" firstDataRow="1" firstDataCol="1"/>
  <pivotFields count="27">
    <pivotField showAll="0"/>
    <pivotField showAll="0">
      <items count="128">
        <item x="74"/>
        <item x="80"/>
        <item x="86"/>
        <item x="65"/>
        <item x="63"/>
        <item x="121"/>
        <item x="116"/>
        <item x="114"/>
        <item x="9"/>
        <item x="101"/>
        <item x="20"/>
        <item x="34"/>
        <item x="16"/>
        <item x="69"/>
        <item x="6"/>
        <item x="43"/>
        <item x="61"/>
        <item x="36"/>
        <item x="8"/>
        <item x="55"/>
        <item x="115"/>
        <item x="1"/>
        <item x="119"/>
        <item x="82"/>
        <item x="23"/>
        <item x="81"/>
        <item x="31"/>
        <item x="14"/>
        <item x="53"/>
        <item x="93"/>
        <item x="113"/>
        <item x="12"/>
        <item x="4"/>
        <item x="15"/>
        <item x="95"/>
        <item x="18"/>
        <item x="100"/>
        <item x="110"/>
        <item x="120"/>
        <item x="84"/>
        <item x="97"/>
        <item x="27"/>
        <item x="75"/>
        <item x="24"/>
        <item x="105"/>
        <item x="71"/>
        <item x="56"/>
        <item x="25"/>
        <item x="35"/>
        <item x="125"/>
        <item x="40"/>
        <item x="94"/>
        <item x="90"/>
        <item x="122"/>
        <item x="13"/>
        <item x="106"/>
        <item x="77"/>
        <item x="47"/>
        <item x="33"/>
        <item x="50"/>
        <item x="85"/>
        <item x="11"/>
        <item x="79"/>
        <item x="5"/>
        <item x="73"/>
        <item x="91"/>
        <item x="48"/>
        <item x="51"/>
        <item x="32"/>
        <item x="98"/>
        <item x="2"/>
        <item x="126"/>
        <item x="58"/>
        <item x="26"/>
        <item x="10"/>
        <item x="42"/>
        <item x="62"/>
        <item x="124"/>
        <item x="22"/>
        <item x="39"/>
        <item x="89"/>
        <item x="7"/>
        <item x="57"/>
        <item x="118"/>
        <item x="102"/>
        <item x="21"/>
        <item x="88"/>
        <item x="37"/>
        <item x="66"/>
        <item x="117"/>
        <item x="17"/>
        <item x="28"/>
        <item x="0"/>
        <item x="72"/>
        <item x="70"/>
        <item x="44"/>
        <item x="103"/>
        <item x="96"/>
        <item x="49"/>
        <item x="87"/>
        <item x="78"/>
        <item x="104"/>
        <item x="38"/>
        <item x="123"/>
        <item x="3"/>
        <item x="68"/>
        <item x="19"/>
        <item x="107"/>
        <item x="29"/>
        <item x="52"/>
        <item x="46"/>
        <item x="109"/>
        <item x="108"/>
        <item x="60"/>
        <item x="111"/>
        <item x="59"/>
        <item x="99"/>
        <item x="45"/>
        <item x="64"/>
        <item x="67"/>
        <item x="83"/>
        <item x="76"/>
        <item x="54"/>
        <item x="41"/>
        <item x="92"/>
        <item x="30"/>
        <item x="112"/>
        <item t="default"/>
      </items>
    </pivotField>
    <pivotField showAll="0">
      <items count="6">
        <item x="2"/>
        <item x="3"/>
        <item x="4"/>
        <item x="1"/>
        <item x="0"/>
        <item t="default"/>
      </items>
    </pivotField>
    <pivotField showAll="0" measureFilter="1">
      <items count="21">
        <item x="9"/>
        <item x="10"/>
        <item x="15"/>
        <item x="19"/>
        <item x="16"/>
        <item x="8"/>
        <item x="14"/>
        <item x="0"/>
        <item x="17"/>
        <item x="18"/>
        <item x="13"/>
        <item x="6"/>
        <item x="7"/>
        <item x="5"/>
        <item x="11"/>
        <item x="4"/>
        <item x="2"/>
        <item x="12"/>
        <item x="3"/>
        <item x="1"/>
        <item t="default"/>
      </items>
    </pivotField>
    <pivotField showAll="0"/>
    <pivotField showAll="0"/>
    <pivotField showAll="0"/>
    <pivotField showAll="0"/>
    <pivotField axis="axisRow" showAll="0">
      <items count="6">
        <item x="0"/>
        <item x="4"/>
        <item x="3"/>
        <item x="2"/>
        <item x="1"/>
        <item t="default"/>
      </items>
    </pivotField>
    <pivotField showAll="0">
      <items count="47">
        <item x="36"/>
        <item x="2"/>
        <item x="28"/>
        <item x="14"/>
        <item x="12"/>
        <item x="26"/>
        <item x="0"/>
        <item x="39"/>
        <item x="31"/>
        <item x="19"/>
        <item x="18"/>
        <item x="20"/>
        <item x="34"/>
        <item x="17"/>
        <item x="44"/>
        <item x="16"/>
        <item x="37"/>
        <item x="29"/>
        <item x="33"/>
        <item x="11"/>
        <item x="3"/>
        <item x="42"/>
        <item x="4"/>
        <item x="22"/>
        <item x="8"/>
        <item x="43"/>
        <item x="41"/>
        <item x="40"/>
        <item x="13"/>
        <item x="24"/>
        <item x="25"/>
        <item x="15"/>
        <item x="30"/>
        <item x="38"/>
        <item x="27"/>
        <item x="6"/>
        <item x="23"/>
        <item x="1"/>
        <item x="9"/>
        <item x="10"/>
        <item x="7"/>
        <item x="21"/>
        <item x="32"/>
        <item x="45"/>
        <item x="5"/>
        <item x="35"/>
        <item t="default"/>
      </items>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h="1" sd="0" x="4"/>
        <item h="1" sd="0" x="5"/>
        <item t="default"/>
      </items>
    </pivotField>
  </pivotFields>
  <rowFields count="1">
    <field x="8"/>
  </rowFields>
  <rowItems count="5">
    <i>
      <x/>
    </i>
    <i>
      <x v="1"/>
    </i>
    <i>
      <x v="2"/>
    </i>
    <i>
      <x v="3"/>
    </i>
    <i>
      <x v="4"/>
    </i>
  </rowItems>
  <colFields count="1">
    <field x="-2"/>
  </colFields>
  <colItems count="2">
    <i>
      <x/>
    </i>
    <i i="1">
      <x v="1"/>
    </i>
  </colItems>
  <dataFields count="2">
    <dataField name="Revenue Trend" fld="13" baseField="24" baseItem="1" numFmtId="165"/>
    <dataField name="% of Total" fld="13" showDataAs="percentOfTotal" baseField="0" baseItem="0" numFmtId="10"/>
  </dataFields>
  <formats count="1">
    <format dxfId="222">
      <pivotArea outline="0" collapsedLevelsAreSubtotals="1" fieldPosition="0">
        <references count="1">
          <reference field="4294967294" count="1" selected="0">
            <x v="0"/>
          </reference>
        </references>
      </pivotArea>
    </format>
  </formats>
  <chartFormats count="1">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6D63CCC2-12F4-41F0-8AB1-F6CC3B85B256}" sourceName="Years (Transaction_Date)">
  <pivotTables>
    <pivotTable tabId="2" name="PivotTable3"/>
    <pivotTable tabId="2" name="PivotTable2"/>
    <pivotTable tabId="2" name="PivotTable4"/>
    <pivotTable tabId="2" name="PivotTable5"/>
    <pivotTable tabId="2" name="PivotTable6"/>
    <pivotTable tabId="2" name="PivotTable7"/>
    <pivotTable tabId="2" name="PivotTable1"/>
  </pivotTables>
  <data>
    <tabular pivotCacheId="1136050262">
      <items count="6">
        <i x="1" s="1"/>
        <i x="2" s="1"/>
        <i x="3" s="1"/>
        <i x="0" nd="1"/>
        <i x="5"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642BB5-D9F3-42D4-B24B-43E31E1DFBEA}" sourceName="Region">
  <pivotTables>
    <pivotTable tabId="2" name="PivotTable3"/>
    <pivotTable tabId="2" name="PivotTable2"/>
    <pivotTable tabId="2" name="PivotTable4"/>
    <pivotTable tabId="2" name="PivotTable5"/>
    <pivotTable tabId="2" name="PivotTable6"/>
    <pivotTable tabId="2" name="PivotTable7"/>
    <pivotTable tabId="2" name="PivotTable1"/>
  </pivotTables>
  <data>
    <tabular pivotCacheId="1136050262">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BB71797-3E47-45EA-A848-96700AC2BDCB}" sourceName="Product_Category">
  <pivotTables>
    <pivotTable tabId="2" name="PivotTable3"/>
    <pivotTable tabId="2" name="PivotTable2"/>
    <pivotTable tabId="2" name="PivotTable4"/>
    <pivotTable tabId="2" name="PivotTable5"/>
    <pivotTable tabId="2" name="PivotTable6"/>
    <pivotTable tabId="2" name="PivotTable7"/>
    <pivotTable tabId="2" name="PivotTable1"/>
  </pivotTables>
  <data>
    <tabular pivotCacheId="1136050262">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1" xr10:uid="{927BD1A3-E08E-4CE1-9DEA-C038AA3C3309}" cache="Slicer_Years__Transaction_Date" caption="Years (Transaction_Date)" showCaption="0" rowHeight="241300"/>
  <slicer name="Region" xr10:uid="{AAD4CC84-BF76-4E16-8640-915E03DB79AB}" cache="Slicer_Region" caption="Region" showCaption="0" rowHeight="241300"/>
  <slicer name="Product_Category" xr10:uid="{4267B32F-CE2B-4F3A-ACBD-9E2B4F934FC7}" cache="Slicer_Product_Category" caption="Product_Category"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C5B0-4612-49A0-BBF4-0E06AB610E7D}">
  <dimension ref="A1:I23"/>
  <sheetViews>
    <sheetView zoomScaleNormal="100" workbookViewId="0">
      <selection activeCell="J10" sqref="J10"/>
    </sheetView>
  </sheetViews>
  <sheetFormatPr defaultRowHeight="15" x14ac:dyDescent="0.25"/>
  <cols>
    <col min="1" max="1" width="15.42578125" customWidth="1"/>
    <col min="2" max="2" width="14" bestFit="1" customWidth="1"/>
    <col min="3" max="3" width="24.7109375" bestFit="1" customWidth="1"/>
    <col min="4" max="4" width="19.5703125" bestFit="1" customWidth="1"/>
    <col min="5" max="5" width="22.42578125" bestFit="1" customWidth="1"/>
    <col min="6" max="6" width="13.140625" customWidth="1"/>
    <col min="7" max="7" width="18.28515625" bestFit="1" customWidth="1"/>
    <col min="8" max="8" width="21" bestFit="1" customWidth="1"/>
    <col min="9" max="9" width="19.140625" bestFit="1" customWidth="1"/>
    <col min="10" max="10" width="10.85546875" bestFit="1" customWidth="1"/>
    <col min="11" max="11" width="12.85546875" bestFit="1" customWidth="1"/>
    <col min="12" max="12" width="12.5703125" bestFit="1" customWidth="1"/>
    <col min="13" max="13" width="11" bestFit="1" customWidth="1"/>
    <col min="14" max="14" width="11.140625" bestFit="1" customWidth="1"/>
    <col min="15" max="15" width="8" bestFit="1" customWidth="1"/>
    <col min="16" max="16" width="8.28515625" bestFit="1" customWidth="1"/>
    <col min="17" max="17" width="19.5703125" bestFit="1" customWidth="1"/>
    <col min="18" max="18" width="16.28515625" bestFit="1" customWidth="1"/>
    <col min="19" max="19" width="11.140625" bestFit="1" customWidth="1"/>
    <col min="20" max="20" width="16.7109375" bestFit="1" customWidth="1"/>
  </cols>
  <sheetData>
    <row r="1" spans="1:9" x14ac:dyDescent="0.25">
      <c r="A1" t="s">
        <v>536</v>
      </c>
      <c r="B1" t="s">
        <v>537</v>
      </c>
      <c r="C1" t="s">
        <v>538</v>
      </c>
      <c r="D1" t="s">
        <v>539</v>
      </c>
      <c r="E1" t="s">
        <v>540</v>
      </c>
      <c r="F1" t="s">
        <v>541</v>
      </c>
    </row>
    <row r="2" spans="1:9" x14ac:dyDescent="0.25">
      <c r="A2" s="1">
        <v>151504752</v>
      </c>
      <c r="B2" s="1">
        <v>42557636</v>
      </c>
      <c r="C2" s="8">
        <v>132</v>
      </c>
      <c r="D2" s="2">
        <v>0.28089967765499529</v>
      </c>
      <c r="E2" s="8">
        <v>132</v>
      </c>
      <c r="F2" s="1">
        <f>GETPIVOTDATA("Sum of Revenue",$A$1)/GETPIVOTDATA("Count of Transaction_ID",$A$1)</f>
        <v>1147763.2727272727</v>
      </c>
    </row>
    <row r="4" spans="1:9" x14ac:dyDescent="0.25">
      <c r="A4" s="3" t="s">
        <v>542</v>
      </c>
      <c r="B4" t="s">
        <v>556</v>
      </c>
      <c r="C4" s="3" t="s">
        <v>542</v>
      </c>
      <c r="D4" t="s">
        <v>556</v>
      </c>
      <c r="E4" s="3" t="s">
        <v>542</v>
      </c>
      <c r="F4" t="s">
        <v>556</v>
      </c>
    </row>
    <row r="5" spans="1:9" x14ac:dyDescent="0.25">
      <c r="A5" s="4" t="s">
        <v>544</v>
      </c>
      <c r="B5" s="8">
        <v>24667649</v>
      </c>
      <c r="C5" s="4" t="s">
        <v>22</v>
      </c>
      <c r="D5" s="1">
        <v>33868238</v>
      </c>
      <c r="E5" s="4" t="s">
        <v>86</v>
      </c>
      <c r="F5" s="1">
        <v>51942512</v>
      </c>
      <c r="G5" s="3" t="s">
        <v>542</v>
      </c>
      <c r="H5" t="s">
        <v>556</v>
      </c>
      <c r="I5" t="s">
        <v>537</v>
      </c>
    </row>
    <row r="6" spans="1:9" x14ac:dyDescent="0.25">
      <c r="A6" s="4" t="s">
        <v>545</v>
      </c>
      <c r="B6" s="8">
        <v>13595181</v>
      </c>
      <c r="C6" s="4" t="s">
        <v>532</v>
      </c>
      <c r="D6" s="1">
        <v>19757848</v>
      </c>
      <c r="E6" s="4" t="s">
        <v>31</v>
      </c>
      <c r="F6" s="1">
        <v>53426396</v>
      </c>
      <c r="G6" s="4" t="s">
        <v>544</v>
      </c>
      <c r="H6" s="8">
        <v>24667649</v>
      </c>
      <c r="I6" s="8">
        <v>8218103</v>
      </c>
    </row>
    <row r="7" spans="1:9" x14ac:dyDescent="0.25">
      <c r="A7" s="4" t="s">
        <v>546</v>
      </c>
      <c r="B7" s="8">
        <v>14784439</v>
      </c>
      <c r="C7" s="4" t="s">
        <v>533</v>
      </c>
      <c r="D7" s="1">
        <v>27331552</v>
      </c>
      <c r="E7" s="4" t="s">
        <v>62</v>
      </c>
      <c r="F7" s="1">
        <v>46135844</v>
      </c>
      <c r="G7" s="4" t="s">
        <v>545</v>
      </c>
      <c r="H7" s="8">
        <v>13595181</v>
      </c>
      <c r="I7" s="8">
        <v>3378719</v>
      </c>
    </row>
    <row r="8" spans="1:9" x14ac:dyDescent="0.25">
      <c r="A8" s="4" t="s">
        <v>547</v>
      </c>
      <c r="B8" s="8">
        <v>10328511</v>
      </c>
      <c r="C8" s="4" t="s">
        <v>531</v>
      </c>
      <c r="D8" s="1">
        <v>32408651</v>
      </c>
      <c r="E8" s="4" t="s">
        <v>543</v>
      </c>
      <c r="F8" s="1">
        <v>151504752</v>
      </c>
      <c r="G8" s="4" t="s">
        <v>546</v>
      </c>
      <c r="H8" s="8">
        <v>14784439</v>
      </c>
      <c r="I8" s="8">
        <v>3511819</v>
      </c>
    </row>
    <row r="9" spans="1:9" x14ac:dyDescent="0.25">
      <c r="A9" s="4" t="s">
        <v>548</v>
      </c>
      <c r="B9" s="8">
        <v>9193785</v>
      </c>
      <c r="C9" s="4" t="s">
        <v>530</v>
      </c>
      <c r="D9" s="1">
        <v>38138463</v>
      </c>
      <c r="G9" s="4" t="s">
        <v>547</v>
      </c>
      <c r="H9" s="8">
        <v>10328511</v>
      </c>
      <c r="I9" s="8">
        <v>2203086</v>
      </c>
    </row>
    <row r="10" spans="1:9" x14ac:dyDescent="0.25">
      <c r="A10" s="4" t="s">
        <v>549</v>
      </c>
      <c r="B10" s="8">
        <v>10605530</v>
      </c>
      <c r="C10" s="4" t="s">
        <v>543</v>
      </c>
      <c r="D10" s="1">
        <v>151504752</v>
      </c>
      <c r="G10" s="4" t="s">
        <v>548</v>
      </c>
      <c r="H10" s="8">
        <v>9193785</v>
      </c>
      <c r="I10" s="8">
        <v>3058878</v>
      </c>
    </row>
    <row r="11" spans="1:9" x14ac:dyDescent="0.25">
      <c r="A11" s="4" t="s">
        <v>550</v>
      </c>
      <c r="B11" s="8">
        <v>5195421</v>
      </c>
      <c r="G11" s="4" t="s">
        <v>549</v>
      </c>
      <c r="H11" s="8">
        <v>10605530</v>
      </c>
      <c r="I11" s="8">
        <v>3453034</v>
      </c>
    </row>
    <row r="12" spans="1:9" x14ac:dyDescent="0.25">
      <c r="A12" s="4" t="s">
        <v>551</v>
      </c>
      <c r="B12" s="8">
        <v>14160019</v>
      </c>
      <c r="G12" s="4" t="s">
        <v>550</v>
      </c>
      <c r="H12" s="8">
        <v>5195421</v>
      </c>
      <c r="I12" s="8">
        <v>1308298</v>
      </c>
    </row>
    <row r="13" spans="1:9" x14ac:dyDescent="0.25">
      <c r="A13" s="4" t="s">
        <v>552</v>
      </c>
      <c r="B13" s="8">
        <v>9173809</v>
      </c>
      <c r="G13" s="4" t="s">
        <v>551</v>
      </c>
      <c r="H13" s="8">
        <v>14160019</v>
      </c>
      <c r="I13" s="8">
        <v>3531311</v>
      </c>
    </row>
    <row r="14" spans="1:9" x14ac:dyDescent="0.25">
      <c r="A14" s="4" t="s">
        <v>553</v>
      </c>
      <c r="B14" s="8">
        <v>25601519</v>
      </c>
      <c r="G14" s="4" t="s">
        <v>552</v>
      </c>
      <c r="H14" s="8">
        <v>9173809</v>
      </c>
      <c r="I14" s="8">
        <v>2789453</v>
      </c>
    </row>
    <row r="15" spans="1:9" x14ac:dyDescent="0.25">
      <c r="A15" s="4" t="s">
        <v>554</v>
      </c>
      <c r="B15" s="8">
        <v>1759184</v>
      </c>
      <c r="G15" s="4" t="s">
        <v>553</v>
      </c>
      <c r="H15" s="8">
        <v>25601519</v>
      </c>
      <c r="I15" s="8">
        <v>7513297</v>
      </c>
    </row>
    <row r="16" spans="1:9" x14ac:dyDescent="0.25">
      <c r="A16" s="4" t="s">
        <v>555</v>
      </c>
      <c r="B16" s="8">
        <v>12439705</v>
      </c>
      <c r="G16" s="4" t="s">
        <v>554</v>
      </c>
      <c r="H16" s="8">
        <v>1759184</v>
      </c>
      <c r="I16" s="8">
        <v>406585</v>
      </c>
    </row>
    <row r="17" spans="1:9" x14ac:dyDescent="0.25">
      <c r="A17" s="4" t="s">
        <v>543</v>
      </c>
      <c r="B17" s="8">
        <v>151504752</v>
      </c>
      <c r="G17" s="4" t="s">
        <v>555</v>
      </c>
      <c r="H17" s="8">
        <v>12439705</v>
      </c>
      <c r="I17" s="8">
        <v>3185053</v>
      </c>
    </row>
    <row r="18" spans="1:9" x14ac:dyDescent="0.25">
      <c r="A18" s="3" t="s">
        <v>542</v>
      </c>
      <c r="B18" t="s">
        <v>556</v>
      </c>
      <c r="C18" t="s">
        <v>559</v>
      </c>
      <c r="D18" s="3" t="s">
        <v>542</v>
      </c>
      <c r="E18" t="s">
        <v>556</v>
      </c>
      <c r="F18" t="s">
        <v>559</v>
      </c>
      <c r="G18" s="4" t="s">
        <v>543</v>
      </c>
      <c r="H18" s="8">
        <v>151504752</v>
      </c>
      <c r="I18" s="8">
        <v>42557636</v>
      </c>
    </row>
    <row r="19" spans="1:9" x14ac:dyDescent="0.25">
      <c r="A19" s="4" t="s">
        <v>119</v>
      </c>
      <c r="B19" s="1">
        <v>12051524</v>
      </c>
      <c r="C19" s="5">
        <v>0.17680789694104387</v>
      </c>
      <c r="D19" s="4" t="s">
        <v>41</v>
      </c>
      <c r="E19" s="1">
        <v>28665883</v>
      </c>
      <c r="F19" s="5">
        <v>0.18920781441891671</v>
      </c>
    </row>
    <row r="20" spans="1:9" x14ac:dyDescent="0.25">
      <c r="A20" s="4" t="s">
        <v>113</v>
      </c>
      <c r="B20" s="1">
        <v>14005012</v>
      </c>
      <c r="C20" s="5">
        <v>0.20546751749854067</v>
      </c>
      <c r="D20" s="4" t="s">
        <v>28</v>
      </c>
      <c r="E20" s="1">
        <v>29001839</v>
      </c>
      <c r="F20" s="5">
        <v>0.19142527621839875</v>
      </c>
    </row>
    <row r="21" spans="1:9" x14ac:dyDescent="0.25">
      <c r="A21" s="4" t="s">
        <v>109</v>
      </c>
      <c r="B21" s="1">
        <v>12995870</v>
      </c>
      <c r="C21" s="5">
        <v>0.19066239619314571</v>
      </c>
      <c r="D21" s="4" t="s">
        <v>77</v>
      </c>
      <c r="E21" s="1">
        <v>23637151</v>
      </c>
      <c r="F21" s="5">
        <v>0.15601590503247054</v>
      </c>
    </row>
    <row r="22" spans="1:9" x14ac:dyDescent="0.25">
      <c r="A22" s="4" t="s">
        <v>74</v>
      </c>
      <c r="B22" s="1">
        <v>15422013</v>
      </c>
      <c r="C22" s="5">
        <v>0.22625633779822693</v>
      </c>
      <c r="D22" s="4" t="s">
        <v>68</v>
      </c>
      <c r="E22" s="1">
        <v>38324450</v>
      </c>
      <c r="F22" s="5">
        <v>0.2529587322779156</v>
      </c>
    </row>
    <row r="23" spans="1:9" x14ac:dyDescent="0.25">
      <c r="A23" s="4" t="s">
        <v>65</v>
      </c>
      <c r="B23" s="1">
        <v>13687265</v>
      </c>
      <c r="C23" s="5">
        <v>0.20080585156904282</v>
      </c>
      <c r="D23" s="4" t="s">
        <v>52</v>
      </c>
      <c r="E23" s="1">
        <v>31875429</v>
      </c>
      <c r="F23" s="5">
        <v>0.21039227205229841</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B564E0E2-8FC9-4908-89E0-CE477EC80349}">
          <x14:colorSeries rgb="FF323232"/>
          <x14:colorNegative rgb="FFD00000"/>
          <x14:colorAxis rgb="FF000000"/>
          <x14:colorMarkers rgb="FFD00000"/>
          <x14:colorFirst rgb="FFD00000"/>
          <x14:colorLast rgb="FFD00000"/>
          <x14:colorHigh rgb="FFD00000"/>
          <x14:colorLow rgb="FFD00000"/>
          <x14:sparklines>
            <x14:sparkline>
              <xm:f>CleanData!A2:C2</xm:f>
              <xm:sqref>G3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1"/>
  <sheetViews>
    <sheetView workbookViewId="0">
      <selection activeCell="I1" sqref="I1"/>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t="s">
        <v>27</v>
      </c>
      <c r="I2" t="s">
        <v>28</v>
      </c>
      <c r="J2" t="s">
        <v>29</v>
      </c>
      <c r="K2">
        <v>81</v>
      </c>
      <c r="L2">
        <v>46793</v>
      </c>
      <c r="M2" t="s">
        <v>30</v>
      </c>
      <c r="N2">
        <v>3411209.7</v>
      </c>
      <c r="O2">
        <v>1959019.18</v>
      </c>
      <c r="P2">
        <v>1452190.52</v>
      </c>
      <c r="Q2" t="s">
        <v>31</v>
      </c>
      <c r="R2" t="s">
        <v>32</v>
      </c>
      <c r="S2" t="s">
        <v>33</v>
      </c>
      <c r="T2">
        <v>23.446200000000001</v>
      </c>
    </row>
    <row r="3" spans="1:20" x14ac:dyDescent="0.25">
      <c r="A3" t="s">
        <v>34</v>
      </c>
      <c r="B3" t="s">
        <v>35</v>
      </c>
      <c r="C3" t="s">
        <v>36</v>
      </c>
      <c r="D3" t="s">
        <v>37</v>
      </c>
      <c r="E3" t="s">
        <v>38</v>
      </c>
      <c r="F3" t="s">
        <v>39</v>
      </c>
      <c r="G3" t="s">
        <v>40</v>
      </c>
      <c r="H3" t="s">
        <v>27</v>
      </c>
      <c r="I3" t="s">
        <v>41</v>
      </c>
      <c r="J3" t="s">
        <v>42</v>
      </c>
      <c r="K3">
        <v>40</v>
      </c>
      <c r="L3">
        <v>33316</v>
      </c>
      <c r="M3" t="s">
        <v>30</v>
      </c>
      <c r="N3">
        <v>1199376</v>
      </c>
      <c r="O3">
        <v>940476.93</v>
      </c>
      <c r="P3">
        <v>258899.07</v>
      </c>
      <c r="Q3" t="s">
        <v>31</v>
      </c>
      <c r="R3" t="s">
        <v>43</v>
      </c>
      <c r="S3" t="s">
        <v>44</v>
      </c>
      <c r="T3">
        <v>1.9584999999999999</v>
      </c>
    </row>
    <row r="4" spans="1:20" x14ac:dyDescent="0.25">
      <c r="A4" t="s">
        <v>45</v>
      </c>
      <c r="B4" t="s">
        <v>46</v>
      </c>
      <c r="C4" t="s">
        <v>36</v>
      </c>
      <c r="D4" t="s">
        <v>47</v>
      </c>
      <c r="E4" t="s">
        <v>48</v>
      </c>
      <c r="F4" t="s">
        <v>49</v>
      </c>
      <c r="G4" t="s">
        <v>50</v>
      </c>
      <c r="H4" t="s">
        <v>51</v>
      </c>
      <c r="I4" t="s">
        <v>52</v>
      </c>
      <c r="J4" t="s">
        <v>53</v>
      </c>
      <c r="K4">
        <v>35</v>
      </c>
      <c r="L4">
        <v>16759</v>
      </c>
      <c r="M4" t="s">
        <v>30</v>
      </c>
      <c r="N4">
        <v>527908.5</v>
      </c>
      <c r="O4">
        <v>434429.69</v>
      </c>
      <c r="P4">
        <v>93478.81</v>
      </c>
      <c r="Q4" t="s">
        <v>31</v>
      </c>
      <c r="R4" t="s">
        <v>54</v>
      </c>
      <c r="S4" t="s">
        <v>33</v>
      </c>
      <c r="T4">
        <v>2.3028</v>
      </c>
    </row>
    <row r="5" spans="1:20" x14ac:dyDescent="0.25">
      <c r="A5" t="s">
        <v>55</v>
      </c>
      <c r="B5" t="s">
        <v>56</v>
      </c>
      <c r="C5" t="s">
        <v>57</v>
      </c>
      <c r="D5" t="s">
        <v>58</v>
      </c>
      <c r="E5" t="s">
        <v>59</v>
      </c>
      <c r="F5" t="s">
        <v>60</v>
      </c>
      <c r="G5" t="s">
        <v>61</v>
      </c>
      <c r="H5" t="s">
        <v>27</v>
      </c>
      <c r="I5" t="s">
        <v>41</v>
      </c>
      <c r="J5" t="s">
        <v>29</v>
      </c>
      <c r="K5">
        <v>33</v>
      </c>
      <c r="L5">
        <v>22516</v>
      </c>
      <c r="M5" t="s">
        <v>30</v>
      </c>
      <c r="N5">
        <v>668725.19999999995</v>
      </c>
      <c r="O5">
        <v>350029.28</v>
      </c>
      <c r="P5">
        <v>318695.92</v>
      </c>
      <c r="Q5" t="s">
        <v>62</v>
      </c>
      <c r="R5" t="s">
        <v>43</v>
      </c>
      <c r="S5" t="s">
        <v>33</v>
      </c>
      <c r="T5">
        <v>41.726199999999999</v>
      </c>
    </row>
    <row r="6" spans="1:20" x14ac:dyDescent="0.25">
      <c r="A6" t="s">
        <v>63</v>
      </c>
      <c r="B6" t="s">
        <v>64</v>
      </c>
      <c r="C6" t="s">
        <v>36</v>
      </c>
      <c r="D6" t="s">
        <v>65</v>
      </c>
      <c r="E6" t="s">
        <v>66</v>
      </c>
      <c r="F6" t="s">
        <v>49</v>
      </c>
      <c r="G6" t="s">
        <v>26</v>
      </c>
      <c r="H6" t="s">
        <v>67</v>
      </c>
      <c r="I6" t="s">
        <v>68</v>
      </c>
      <c r="J6" t="s">
        <v>69</v>
      </c>
      <c r="K6">
        <v>24</v>
      </c>
      <c r="L6" t="s">
        <v>70</v>
      </c>
      <c r="M6" t="s">
        <v>71</v>
      </c>
      <c r="N6">
        <v>393744</v>
      </c>
      <c r="O6">
        <v>256781.06</v>
      </c>
      <c r="P6">
        <v>136962.94</v>
      </c>
      <c r="Q6" t="s">
        <v>62</v>
      </c>
      <c r="R6" t="s">
        <v>43</v>
      </c>
      <c r="S6" t="s">
        <v>44</v>
      </c>
      <c r="T6">
        <v>10.3467</v>
      </c>
    </row>
    <row r="7" spans="1:20" x14ac:dyDescent="0.25">
      <c r="A7" t="s">
        <v>72</v>
      </c>
      <c r="B7" t="s">
        <v>73</v>
      </c>
      <c r="C7" t="s">
        <v>22</v>
      </c>
      <c r="D7" t="s">
        <v>74</v>
      </c>
      <c r="E7" t="s">
        <v>75</v>
      </c>
      <c r="F7" t="s">
        <v>60</v>
      </c>
      <c r="G7" t="s">
        <v>76</v>
      </c>
      <c r="H7" t="s">
        <v>51</v>
      </c>
      <c r="I7" t="s">
        <v>77</v>
      </c>
      <c r="J7" t="s">
        <v>78</v>
      </c>
      <c r="K7">
        <v>84</v>
      </c>
      <c r="L7" t="s">
        <v>79</v>
      </c>
      <c r="M7" t="s">
        <v>80</v>
      </c>
      <c r="N7">
        <v>3020362.8</v>
      </c>
      <c r="O7">
        <v>1877525.31</v>
      </c>
      <c r="P7">
        <v>1142837.49</v>
      </c>
      <c r="Q7" t="s">
        <v>62</v>
      </c>
      <c r="R7" t="s">
        <v>43</v>
      </c>
      <c r="S7" t="s">
        <v>33</v>
      </c>
      <c r="T7">
        <v>5.1292</v>
      </c>
    </row>
    <row r="8" spans="1:20" x14ac:dyDescent="0.25">
      <c r="A8" t="s">
        <v>81</v>
      </c>
      <c r="B8" t="s">
        <v>82</v>
      </c>
      <c r="C8" t="s">
        <v>83</v>
      </c>
      <c r="D8" t="s">
        <v>58</v>
      </c>
      <c r="E8" t="s">
        <v>75</v>
      </c>
      <c r="F8" t="s">
        <v>39</v>
      </c>
      <c r="G8" t="s">
        <v>84</v>
      </c>
      <c r="H8" t="s">
        <v>27</v>
      </c>
      <c r="I8" t="s">
        <v>68</v>
      </c>
      <c r="J8" t="s">
        <v>85</v>
      </c>
      <c r="K8">
        <v>48</v>
      </c>
      <c r="L8">
        <v>17987</v>
      </c>
      <c r="M8" t="s">
        <v>80</v>
      </c>
      <c r="N8">
        <v>733869.6</v>
      </c>
      <c r="O8">
        <v>597564.15</v>
      </c>
      <c r="P8">
        <v>136305.45000000001</v>
      </c>
      <c r="Q8" t="s">
        <v>86</v>
      </c>
      <c r="R8" t="s">
        <v>43</v>
      </c>
      <c r="S8" t="s">
        <v>33</v>
      </c>
      <c r="T8">
        <v>58.163400000000003</v>
      </c>
    </row>
    <row r="9" spans="1:20" x14ac:dyDescent="0.25">
      <c r="A9" t="s">
        <v>87</v>
      </c>
      <c r="B9" t="s">
        <v>88</v>
      </c>
      <c r="C9" t="s">
        <v>57</v>
      </c>
      <c r="D9" t="s">
        <v>89</v>
      </c>
      <c r="E9" t="s">
        <v>90</v>
      </c>
      <c r="F9" t="s">
        <v>91</v>
      </c>
      <c r="G9" t="s">
        <v>92</v>
      </c>
      <c r="H9" t="s">
        <v>51</v>
      </c>
      <c r="I9" t="s">
        <v>77</v>
      </c>
      <c r="J9" t="s">
        <v>93</v>
      </c>
      <c r="K9">
        <v>83</v>
      </c>
      <c r="L9">
        <v>2981</v>
      </c>
      <c r="M9" t="s">
        <v>71</v>
      </c>
      <c r="N9">
        <v>247423</v>
      </c>
      <c r="O9">
        <v>125313.1</v>
      </c>
      <c r="P9">
        <v>122109.9</v>
      </c>
      <c r="Q9" t="s">
        <v>86</v>
      </c>
      <c r="R9" t="s">
        <v>32</v>
      </c>
      <c r="S9" t="s">
        <v>44</v>
      </c>
      <c r="T9">
        <v>52.319499999999998</v>
      </c>
    </row>
    <row r="10" spans="1:20" x14ac:dyDescent="0.25">
      <c r="A10" t="s">
        <v>94</v>
      </c>
      <c r="B10" t="s">
        <v>95</v>
      </c>
      <c r="C10" t="s">
        <v>22</v>
      </c>
      <c r="D10" t="s">
        <v>96</v>
      </c>
      <c r="E10" t="s">
        <v>90</v>
      </c>
      <c r="F10" t="s">
        <v>49</v>
      </c>
      <c r="G10" t="s">
        <v>97</v>
      </c>
      <c r="H10" t="s">
        <v>98</v>
      </c>
      <c r="I10" t="s">
        <v>52</v>
      </c>
      <c r="J10" t="s">
        <v>53</v>
      </c>
      <c r="K10">
        <v>19</v>
      </c>
      <c r="L10">
        <v>46157</v>
      </c>
      <c r="M10" t="s">
        <v>30</v>
      </c>
      <c r="N10">
        <v>789284.7</v>
      </c>
      <c r="O10">
        <v>594630.39</v>
      </c>
      <c r="P10">
        <v>194654.31</v>
      </c>
      <c r="Q10" t="s">
        <v>86</v>
      </c>
      <c r="R10" t="s">
        <v>32</v>
      </c>
      <c r="S10" t="s">
        <v>44</v>
      </c>
      <c r="T10">
        <v>56.226700000000001</v>
      </c>
    </row>
    <row r="11" spans="1:20" x14ac:dyDescent="0.25">
      <c r="A11" t="s">
        <v>99</v>
      </c>
      <c r="B11" t="s">
        <v>100</v>
      </c>
      <c r="C11" t="s">
        <v>22</v>
      </c>
      <c r="D11" t="s">
        <v>37</v>
      </c>
      <c r="E11" t="s">
        <v>101</v>
      </c>
      <c r="F11" t="s">
        <v>49</v>
      </c>
      <c r="G11" t="s">
        <v>102</v>
      </c>
      <c r="H11" t="s">
        <v>51</v>
      </c>
      <c r="I11" t="s">
        <v>68</v>
      </c>
      <c r="J11" t="s">
        <v>103</v>
      </c>
      <c r="K11">
        <v>68</v>
      </c>
      <c r="L11" t="s">
        <v>104</v>
      </c>
      <c r="M11" t="s">
        <v>105</v>
      </c>
      <c r="N11">
        <v>1412543.6</v>
      </c>
      <c r="O11">
        <v>803265.02</v>
      </c>
      <c r="P11">
        <v>609278.57999999996</v>
      </c>
      <c r="Q11" t="s">
        <v>62</v>
      </c>
      <c r="R11" t="s">
        <v>54</v>
      </c>
      <c r="S11" t="s">
        <v>106</v>
      </c>
      <c r="T11">
        <v>58.019100000000002</v>
      </c>
    </row>
    <row r="12" spans="1:20" x14ac:dyDescent="0.25">
      <c r="A12" t="s">
        <v>107</v>
      </c>
      <c r="B12" t="s">
        <v>108</v>
      </c>
      <c r="C12" t="s">
        <v>22</v>
      </c>
      <c r="D12" t="s">
        <v>109</v>
      </c>
      <c r="E12" t="s">
        <v>110</v>
      </c>
      <c r="F12" t="s">
        <v>25</v>
      </c>
      <c r="G12" t="s">
        <v>97</v>
      </c>
      <c r="H12" t="s">
        <v>98</v>
      </c>
      <c r="I12" t="s">
        <v>52</v>
      </c>
      <c r="J12" t="s">
        <v>29</v>
      </c>
      <c r="L12">
        <v>7438</v>
      </c>
      <c r="M12" t="s">
        <v>30</v>
      </c>
      <c r="N12">
        <v>133884</v>
      </c>
      <c r="O12">
        <v>91326.78</v>
      </c>
      <c r="P12">
        <v>42557.22</v>
      </c>
      <c r="Q12" t="s">
        <v>62</v>
      </c>
      <c r="R12" t="s">
        <v>32</v>
      </c>
      <c r="S12" t="s">
        <v>44</v>
      </c>
      <c r="T12">
        <v>33.123699999999999</v>
      </c>
    </row>
    <row r="13" spans="1:20" x14ac:dyDescent="0.25">
      <c r="A13" t="s">
        <v>111</v>
      </c>
      <c r="B13" t="s">
        <v>112</v>
      </c>
      <c r="C13" t="s">
        <v>83</v>
      </c>
      <c r="D13" t="s">
        <v>113</v>
      </c>
      <c r="E13" t="s">
        <v>101</v>
      </c>
      <c r="F13" t="s">
        <v>91</v>
      </c>
      <c r="G13" t="s">
        <v>114</v>
      </c>
      <c r="H13" t="s">
        <v>27</v>
      </c>
      <c r="I13" t="s">
        <v>68</v>
      </c>
      <c r="J13" t="s">
        <v>115</v>
      </c>
      <c r="K13">
        <v>29</v>
      </c>
      <c r="L13">
        <v>32564</v>
      </c>
      <c r="M13" t="s">
        <v>71</v>
      </c>
      <c r="N13">
        <v>944356</v>
      </c>
      <c r="O13">
        <v>476060.04</v>
      </c>
      <c r="P13">
        <v>468295.96</v>
      </c>
      <c r="Q13" t="s">
        <v>86</v>
      </c>
      <c r="R13" t="s">
        <v>43</v>
      </c>
      <c r="S13" t="s">
        <v>106</v>
      </c>
      <c r="T13">
        <v>33.060200000000002</v>
      </c>
    </row>
    <row r="14" spans="1:20" x14ac:dyDescent="0.25">
      <c r="A14" t="s">
        <v>116</v>
      </c>
      <c r="B14" t="s">
        <v>117</v>
      </c>
      <c r="C14" t="s">
        <v>118</v>
      </c>
      <c r="D14" t="s">
        <v>119</v>
      </c>
      <c r="E14" t="s">
        <v>120</v>
      </c>
      <c r="F14" t="s">
        <v>91</v>
      </c>
      <c r="G14" t="s">
        <v>121</v>
      </c>
      <c r="H14" t="s">
        <v>67</v>
      </c>
      <c r="I14" t="s">
        <v>28</v>
      </c>
      <c r="J14" t="s">
        <v>122</v>
      </c>
      <c r="K14">
        <v>30</v>
      </c>
      <c r="L14">
        <v>39185</v>
      </c>
      <c r="M14" t="s">
        <v>71</v>
      </c>
      <c r="N14">
        <v>1175550</v>
      </c>
      <c r="O14">
        <v>705070.15</v>
      </c>
      <c r="P14">
        <v>470479.85</v>
      </c>
      <c r="Q14" t="s">
        <v>31</v>
      </c>
      <c r="R14" t="s">
        <v>43</v>
      </c>
      <c r="S14" t="s">
        <v>106</v>
      </c>
      <c r="T14">
        <v>33.264699999999998</v>
      </c>
    </row>
    <row r="15" spans="1:20" x14ac:dyDescent="0.25">
      <c r="A15" t="s">
        <v>123</v>
      </c>
      <c r="B15" t="s">
        <v>124</v>
      </c>
      <c r="C15" t="s">
        <v>22</v>
      </c>
      <c r="D15" t="s">
        <v>23</v>
      </c>
      <c r="E15" t="s">
        <v>125</v>
      </c>
      <c r="F15" t="s">
        <v>49</v>
      </c>
      <c r="G15" t="s">
        <v>126</v>
      </c>
      <c r="H15" t="s">
        <v>67</v>
      </c>
      <c r="I15" t="s">
        <v>28</v>
      </c>
      <c r="J15" t="s">
        <v>127</v>
      </c>
      <c r="K15">
        <v>14</v>
      </c>
      <c r="L15">
        <v>42155</v>
      </c>
      <c r="M15" t="s">
        <v>105</v>
      </c>
      <c r="N15">
        <v>560661.5</v>
      </c>
      <c r="O15">
        <v>417166.05</v>
      </c>
      <c r="P15">
        <v>143495.45000000001</v>
      </c>
      <c r="Q15" t="s">
        <v>62</v>
      </c>
      <c r="R15" t="s">
        <v>43</v>
      </c>
      <c r="S15" t="s">
        <v>44</v>
      </c>
      <c r="T15">
        <v>54.843400000000003</v>
      </c>
    </row>
    <row r="16" spans="1:20" x14ac:dyDescent="0.25">
      <c r="A16" t="s">
        <v>128</v>
      </c>
      <c r="B16" t="s">
        <v>129</v>
      </c>
      <c r="C16" t="s">
        <v>22</v>
      </c>
      <c r="D16" t="s">
        <v>96</v>
      </c>
      <c r="E16" t="s">
        <v>130</v>
      </c>
      <c r="F16" t="s">
        <v>25</v>
      </c>
      <c r="G16" t="s">
        <v>131</v>
      </c>
      <c r="H16" t="s">
        <v>51</v>
      </c>
      <c r="I16" t="s">
        <v>28</v>
      </c>
      <c r="J16" t="s">
        <v>132</v>
      </c>
      <c r="K16">
        <v>13</v>
      </c>
      <c r="L16" t="s">
        <v>133</v>
      </c>
      <c r="M16" t="s">
        <v>105</v>
      </c>
      <c r="N16">
        <v>564320.9</v>
      </c>
      <c r="O16">
        <v>314955.23</v>
      </c>
      <c r="P16">
        <v>249365.67</v>
      </c>
      <c r="Q16" t="s">
        <v>62</v>
      </c>
      <c r="R16" t="s">
        <v>32</v>
      </c>
      <c r="S16" t="s">
        <v>106</v>
      </c>
      <c r="T16">
        <v>10.8581</v>
      </c>
    </row>
    <row r="17" spans="1:20" x14ac:dyDescent="0.25">
      <c r="A17" t="s">
        <v>134</v>
      </c>
      <c r="B17" t="s">
        <v>135</v>
      </c>
      <c r="C17" t="s">
        <v>22</v>
      </c>
      <c r="D17" t="s">
        <v>58</v>
      </c>
      <c r="E17" t="s">
        <v>101</v>
      </c>
      <c r="F17" t="s">
        <v>39</v>
      </c>
      <c r="G17" t="s">
        <v>102</v>
      </c>
      <c r="H17" t="s">
        <v>51</v>
      </c>
      <c r="I17" t="s">
        <v>77</v>
      </c>
      <c r="J17" t="s">
        <v>29</v>
      </c>
      <c r="K17">
        <v>19</v>
      </c>
      <c r="L17">
        <v>31459</v>
      </c>
      <c r="M17" t="s">
        <v>105</v>
      </c>
      <c r="N17">
        <v>567834.94999999995</v>
      </c>
      <c r="O17">
        <v>360742.18</v>
      </c>
      <c r="P17">
        <v>207092.77</v>
      </c>
      <c r="Q17" t="s">
        <v>86</v>
      </c>
      <c r="R17" t="s">
        <v>32</v>
      </c>
      <c r="S17" t="s">
        <v>44</v>
      </c>
      <c r="T17">
        <v>24.1496</v>
      </c>
    </row>
    <row r="18" spans="1:20" x14ac:dyDescent="0.25">
      <c r="A18" t="s">
        <v>136</v>
      </c>
      <c r="B18" t="s">
        <v>137</v>
      </c>
      <c r="C18" t="s">
        <v>118</v>
      </c>
      <c r="D18" t="s">
        <v>89</v>
      </c>
      <c r="E18" t="s">
        <v>130</v>
      </c>
      <c r="F18" t="s">
        <v>138</v>
      </c>
      <c r="G18" t="s">
        <v>139</v>
      </c>
      <c r="H18" t="s">
        <v>27</v>
      </c>
      <c r="I18" t="s">
        <v>41</v>
      </c>
      <c r="J18" t="s">
        <v>140</v>
      </c>
      <c r="K18">
        <v>42</v>
      </c>
      <c r="L18" t="s">
        <v>141</v>
      </c>
      <c r="M18" t="s">
        <v>105</v>
      </c>
      <c r="N18">
        <v>1749375.6</v>
      </c>
      <c r="O18">
        <v>1113300.3899999999</v>
      </c>
      <c r="P18">
        <v>636075.21</v>
      </c>
      <c r="Q18" t="s">
        <v>86</v>
      </c>
      <c r="R18" t="s">
        <v>32</v>
      </c>
      <c r="S18" t="s">
        <v>44</v>
      </c>
      <c r="T18">
        <v>13.1584</v>
      </c>
    </row>
    <row r="19" spans="1:20" x14ac:dyDescent="0.25">
      <c r="A19" t="s">
        <v>142</v>
      </c>
      <c r="B19" t="s">
        <v>143</v>
      </c>
      <c r="C19" t="s">
        <v>36</v>
      </c>
      <c r="D19" t="s">
        <v>47</v>
      </c>
      <c r="E19" t="s">
        <v>130</v>
      </c>
      <c r="F19" t="s">
        <v>138</v>
      </c>
      <c r="G19" t="s">
        <v>144</v>
      </c>
      <c r="H19" t="s">
        <v>51</v>
      </c>
      <c r="I19" t="s">
        <v>28</v>
      </c>
      <c r="J19" t="s">
        <v>145</v>
      </c>
      <c r="K19">
        <v>96</v>
      </c>
      <c r="L19">
        <v>4286</v>
      </c>
      <c r="M19" t="s">
        <v>105</v>
      </c>
      <c r="N19">
        <v>390883.2</v>
      </c>
      <c r="O19">
        <v>196748.24</v>
      </c>
      <c r="P19">
        <v>194134.96</v>
      </c>
      <c r="Q19" t="s">
        <v>31</v>
      </c>
      <c r="R19" t="s">
        <v>54</v>
      </c>
      <c r="S19" t="s">
        <v>44</v>
      </c>
      <c r="T19">
        <v>47.3476</v>
      </c>
    </row>
    <row r="20" spans="1:20" x14ac:dyDescent="0.25">
      <c r="A20" t="s">
        <v>146</v>
      </c>
      <c r="B20" t="s">
        <v>147</v>
      </c>
      <c r="C20" t="s">
        <v>57</v>
      </c>
      <c r="D20" t="s">
        <v>113</v>
      </c>
      <c r="E20" t="s">
        <v>75</v>
      </c>
      <c r="F20" t="s">
        <v>138</v>
      </c>
      <c r="G20" t="s">
        <v>148</v>
      </c>
      <c r="H20" t="s">
        <v>51</v>
      </c>
      <c r="I20" t="s">
        <v>28</v>
      </c>
      <c r="J20" t="s">
        <v>149</v>
      </c>
      <c r="K20">
        <v>48</v>
      </c>
      <c r="L20">
        <v>16275</v>
      </c>
      <c r="M20" t="s">
        <v>71</v>
      </c>
      <c r="N20">
        <v>781200</v>
      </c>
      <c r="O20">
        <v>629014.38</v>
      </c>
      <c r="P20">
        <v>152185.62</v>
      </c>
      <c r="Q20" t="s">
        <v>86</v>
      </c>
      <c r="R20" t="s">
        <v>54</v>
      </c>
      <c r="S20" t="s">
        <v>44</v>
      </c>
      <c r="T20">
        <v>47.6661</v>
      </c>
    </row>
    <row r="21" spans="1:20" x14ac:dyDescent="0.25">
      <c r="A21" t="s">
        <v>150</v>
      </c>
      <c r="B21" t="s">
        <v>151</v>
      </c>
      <c r="C21" t="s">
        <v>36</v>
      </c>
      <c r="D21" t="s">
        <v>23</v>
      </c>
      <c r="E21" t="s">
        <v>110</v>
      </c>
      <c r="F21" t="s">
        <v>138</v>
      </c>
      <c r="G21" t="s">
        <v>152</v>
      </c>
      <c r="H21" t="s">
        <v>27</v>
      </c>
      <c r="I21" t="s">
        <v>77</v>
      </c>
      <c r="J21" t="s">
        <v>153</v>
      </c>
      <c r="K21">
        <v>17</v>
      </c>
      <c r="L21">
        <v>14639</v>
      </c>
      <c r="M21" t="s">
        <v>71</v>
      </c>
      <c r="N21">
        <v>248863</v>
      </c>
      <c r="O21">
        <v>208949.63</v>
      </c>
      <c r="P21">
        <v>39913.370000000003</v>
      </c>
      <c r="Q21" t="s">
        <v>31</v>
      </c>
      <c r="R21" t="s">
        <v>32</v>
      </c>
      <c r="S21" t="s">
        <v>106</v>
      </c>
      <c r="T21">
        <v>16.971800000000002</v>
      </c>
    </row>
    <row r="22" spans="1:20" x14ac:dyDescent="0.25">
      <c r="A22" t="s">
        <v>154</v>
      </c>
      <c r="B22" t="s">
        <v>155</v>
      </c>
      <c r="C22" t="s">
        <v>57</v>
      </c>
      <c r="D22" t="s">
        <v>156</v>
      </c>
      <c r="E22" t="s">
        <v>48</v>
      </c>
      <c r="F22" t="s">
        <v>25</v>
      </c>
      <c r="G22" t="s">
        <v>76</v>
      </c>
      <c r="H22" t="s">
        <v>51</v>
      </c>
      <c r="I22" t="s">
        <v>77</v>
      </c>
      <c r="J22" t="s">
        <v>149</v>
      </c>
      <c r="K22">
        <v>78</v>
      </c>
      <c r="L22">
        <v>32567</v>
      </c>
      <c r="M22" t="s">
        <v>80</v>
      </c>
      <c r="N22">
        <v>2159192.1</v>
      </c>
      <c r="O22">
        <v>1933297.07</v>
      </c>
      <c r="P22">
        <v>225895.03</v>
      </c>
      <c r="Q22" t="s">
        <v>31</v>
      </c>
      <c r="R22" t="s">
        <v>32</v>
      </c>
      <c r="S22" t="s">
        <v>44</v>
      </c>
      <c r="T22">
        <v>7.6157000000000004</v>
      </c>
    </row>
    <row r="23" spans="1:20" x14ac:dyDescent="0.25">
      <c r="A23" t="s">
        <v>157</v>
      </c>
      <c r="B23" t="s">
        <v>158</v>
      </c>
      <c r="C23" t="s">
        <v>83</v>
      </c>
      <c r="D23" t="s">
        <v>89</v>
      </c>
      <c r="E23" t="s">
        <v>110</v>
      </c>
      <c r="F23" t="s">
        <v>25</v>
      </c>
      <c r="G23" t="s">
        <v>159</v>
      </c>
      <c r="H23" t="s">
        <v>67</v>
      </c>
      <c r="I23" t="s">
        <v>77</v>
      </c>
      <c r="J23" t="s">
        <v>160</v>
      </c>
      <c r="K23">
        <v>1</v>
      </c>
      <c r="L23">
        <v>20542</v>
      </c>
      <c r="M23" t="s">
        <v>30</v>
      </c>
      <c r="N23">
        <v>18487.8</v>
      </c>
      <c r="O23">
        <v>13731.14</v>
      </c>
      <c r="P23">
        <v>4756.66</v>
      </c>
      <c r="Q23" t="s">
        <v>86</v>
      </c>
      <c r="R23" t="s">
        <v>32</v>
      </c>
      <c r="S23" t="s">
        <v>44</v>
      </c>
      <c r="T23">
        <v>27.5501</v>
      </c>
    </row>
    <row r="24" spans="1:20" x14ac:dyDescent="0.25">
      <c r="A24" t="s">
        <v>161</v>
      </c>
      <c r="B24" t="s">
        <v>162</v>
      </c>
      <c r="C24" t="s">
        <v>57</v>
      </c>
      <c r="D24" t="s">
        <v>89</v>
      </c>
      <c r="E24" t="s">
        <v>163</v>
      </c>
      <c r="F24" t="s">
        <v>25</v>
      </c>
      <c r="G24" t="s">
        <v>164</v>
      </c>
      <c r="H24" t="s">
        <v>67</v>
      </c>
      <c r="I24" t="s">
        <v>77</v>
      </c>
      <c r="J24" t="s">
        <v>165</v>
      </c>
      <c r="K24">
        <v>86</v>
      </c>
      <c r="L24" t="s">
        <v>166</v>
      </c>
      <c r="M24" t="s">
        <v>71</v>
      </c>
      <c r="N24">
        <v>2024956</v>
      </c>
      <c r="O24">
        <v>1574402.57</v>
      </c>
      <c r="P24">
        <v>450553.43</v>
      </c>
      <c r="Q24" t="s">
        <v>62</v>
      </c>
      <c r="R24" t="s">
        <v>32</v>
      </c>
      <c r="S24" t="s">
        <v>106</v>
      </c>
      <c r="T24">
        <v>19.685700000000001</v>
      </c>
    </row>
    <row r="25" spans="1:20" x14ac:dyDescent="0.25">
      <c r="A25" t="s">
        <v>167</v>
      </c>
      <c r="B25" t="s">
        <v>168</v>
      </c>
      <c r="C25" t="s">
        <v>83</v>
      </c>
      <c r="D25" t="s">
        <v>169</v>
      </c>
      <c r="E25" t="s">
        <v>125</v>
      </c>
      <c r="F25" t="s">
        <v>49</v>
      </c>
      <c r="G25" t="s">
        <v>170</v>
      </c>
      <c r="H25" t="s">
        <v>98</v>
      </c>
      <c r="I25" t="s">
        <v>68</v>
      </c>
      <c r="J25" t="s">
        <v>171</v>
      </c>
      <c r="L25">
        <v>1427</v>
      </c>
      <c r="M25" t="s">
        <v>71</v>
      </c>
      <c r="N25">
        <v>55653</v>
      </c>
      <c r="O25">
        <v>37027.230000000003</v>
      </c>
      <c r="P25">
        <v>18625.77</v>
      </c>
      <c r="Q25" t="s">
        <v>31</v>
      </c>
      <c r="R25" t="s">
        <v>54</v>
      </c>
      <c r="S25" t="s">
        <v>44</v>
      </c>
      <c r="T25">
        <v>12.6561</v>
      </c>
    </row>
    <row r="26" spans="1:20" x14ac:dyDescent="0.25">
      <c r="A26" t="s">
        <v>172</v>
      </c>
      <c r="B26" t="s">
        <v>173</v>
      </c>
      <c r="C26" t="s">
        <v>57</v>
      </c>
      <c r="D26" t="s">
        <v>113</v>
      </c>
      <c r="E26" t="s">
        <v>75</v>
      </c>
      <c r="F26" t="s">
        <v>60</v>
      </c>
      <c r="G26" t="s">
        <v>174</v>
      </c>
      <c r="H26" t="s">
        <v>98</v>
      </c>
      <c r="I26" t="s">
        <v>68</v>
      </c>
      <c r="J26" t="s">
        <v>165</v>
      </c>
      <c r="K26">
        <v>74</v>
      </c>
      <c r="L26" t="s">
        <v>175</v>
      </c>
      <c r="M26" t="s">
        <v>80</v>
      </c>
      <c r="N26">
        <v>952746.3</v>
      </c>
      <c r="O26">
        <v>772636.61</v>
      </c>
      <c r="P26">
        <v>180109.69</v>
      </c>
      <c r="Q26" t="s">
        <v>31</v>
      </c>
      <c r="R26" t="s">
        <v>54</v>
      </c>
      <c r="S26" t="s">
        <v>44</v>
      </c>
      <c r="T26">
        <v>24.9086</v>
      </c>
    </row>
    <row r="27" spans="1:20" x14ac:dyDescent="0.25">
      <c r="A27" t="s">
        <v>176</v>
      </c>
      <c r="B27" t="s">
        <v>177</v>
      </c>
      <c r="C27" t="s">
        <v>57</v>
      </c>
      <c r="D27" t="s">
        <v>109</v>
      </c>
      <c r="E27" t="s">
        <v>178</v>
      </c>
      <c r="F27" t="s">
        <v>60</v>
      </c>
      <c r="G27" t="s">
        <v>179</v>
      </c>
      <c r="H27" t="s">
        <v>67</v>
      </c>
      <c r="I27" t="s">
        <v>28</v>
      </c>
      <c r="J27" t="s">
        <v>180</v>
      </c>
      <c r="K27">
        <v>79</v>
      </c>
      <c r="L27">
        <v>29899</v>
      </c>
      <c r="M27" t="s">
        <v>71</v>
      </c>
      <c r="N27">
        <v>2362021</v>
      </c>
      <c r="O27">
        <v>1304201.83</v>
      </c>
      <c r="P27">
        <v>1057819.17</v>
      </c>
      <c r="Q27" t="s">
        <v>86</v>
      </c>
      <c r="R27" t="s">
        <v>43</v>
      </c>
      <c r="S27" t="s">
        <v>106</v>
      </c>
      <c r="T27">
        <v>10.2827</v>
      </c>
    </row>
    <row r="28" spans="1:20" x14ac:dyDescent="0.25">
      <c r="A28" t="s">
        <v>181</v>
      </c>
      <c r="B28" t="s">
        <v>182</v>
      </c>
      <c r="C28" t="s">
        <v>83</v>
      </c>
      <c r="D28" t="s">
        <v>183</v>
      </c>
      <c r="E28" t="s">
        <v>184</v>
      </c>
      <c r="F28" t="s">
        <v>25</v>
      </c>
      <c r="G28" t="s">
        <v>185</v>
      </c>
      <c r="H28" t="s">
        <v>51</v>
      </c>
      <c r="I28" t="s">
        <v>77</v>
      </c>
      <c r="J28" t="s">
        <v>186</v>
      </c>
      <c r="K28">
        <v>60</v>
      </c>
      <c r="L28">
        <v>15659</v>
      </c>
      <c r="M28" t="s">
        <v>80</v>
      </c>
      <c r="N28">
        <v>798609</v>
      </c>
      <c r="O28">
        <v>654071.01</v>
      </c>
      <c r="P28">
        <v>144537.99</v>
      </c>
      <c r="Q28" t="s">
        <v>31</v>
      </c>
      <c r="R28" t="s">
        <v>43</v>
      </c>
      <c r="S28" t="s">
        <v>44</v>
      </c>
      <c r="T28">
        <v>53.235500000000002</v>
      </c>
    </row>
    <row r="29" spans="1:20" x14ac:dyDescent="0.25">
      <c r="A29" t="s">
        <v>187</v>
      </c>
      <c r="B29" t="s">
        <v>188</v>
      </c>
      <c r="C29" t="s">
        <v>36</v>
      </c>
      <c r="D29" t="s">
        <v>189</v>
      </c>
      <c r="E29" t="s">
        <v>190</v>
      </c>
      <c r="F29" t="s">
        <v>39</v>
      </c>
      <c r="G29" t="s">
        <v>191</v>
      </c>
      <c r="H29" t="s">
        <v>51</v>
      </c>
      <c r="I29" t="s">
        <v>77</v>
      </c>
      <c r="J29" t="s">
        <v>122</v>
      </c>
      <c r="K29">
        <v>33</v>
      </c>
      <c r="L29" t="s">
        <v>192</v>
      </c>
      <c r="M29" t="s">
        <v>105</v>
      </c>
      <c r="N29">
        <v>576651.9</v>
      </c>
      <c r="O29">
        <v>417451.02</v>
      </c>
      <c r="P29">
        <v>159200.88</v>
      </c>
      <c r="Q29" t="s">
        <v>86</v>
      </c>
      <c r="R29" t="s">
        <v>32</v>
      </c>
      <c r="S29" t="s">
        <v>106</v>
      </c>
      <c r="T29">
        <v>26.854500000000002</v>
      </c>
    </row>
    <row r="30" spans="1:20" x14ac:dyDescent="0.25">
      <c r="A30" t="s">
        <v>193</v>
      </c>
      <c r="B30" t="s">
        <v>194</v>
      </c>
      <c r="C30" t="s">
        <v>57</v>
      </c>
      <c r="D30" t="s">
        <v>195</v>
      </c>
      <c r="E30" t="s">
        <v>190</v>
      </c>
      <c r="F30" t="s">
        <v>60</v>
      </c>
      <c r="G30" t="s">
        <v>185</v>
      </c>
      <c r="H30" t="s">
        <v>98</v>
      </c>
      <c r="I30" t="s">
        <v>77</v>
      </c>
      <c r="J30" t="s">
        <v>196</v>
      </c>
      <c r="K30">
        <v>59</v>
      </c>
      <c r="L30">
        <v>48248</v>
      </c>
      <c r="M30" t="s">
        <v>105</v>
      </c>
      <c r="N30">
        <v>2704300.4</v>
      </c>
      <c r="O30">
        <v>2144911.2799999998</v>
      </c>
      <c r="P30">
        <v>559389.12</v>
      </c>
      <c r="Q30" t="s">
        <v>86</v>
      </c>
      <c r="R30" t="s">
        <v>43</v>
      </c>
      <c r="S30" t="s">
        <v>33</v>
      </c>
      <c r="T30">
        <v>41.2044</v>
      </c>
    </row>
    <row r="31" spans="1:20" x14ac:dyDescent="0.25">
      <c r="A31" t="s">
        <v>197</v>
      </c>
      <c r="B31" t="s">
        <v>198</v>
      </c>
      <c r="C31" t="s">
        <v>83</v>
      </c>
      <c r="D31" t="s">
        <v>96</v>
      </c>
      <c r="E31" t="s">
        <v>90</v>
      </c>
      <c r="F31" t="s">
        <v>138</v>
      </c>
      <c r="G31" t="s">
        <v>199</v>
      </c>
      <c r="H31" t="s">
        <v>51</v>
      </c>
      <c r="I31" t="s">
        <v>52</v>
      </c>
      <c r="J31" t="s">
        <v>42</v>
      </c>
      <c r="K31">
        <v>47</v>
      </c>
      <c r="L31">
        <v>4990</v>
      </c>
      <c r="M31" t="s">
        <v>30</v>
      </c>
      <c r="N31">
        <v>211077</v>
      </c>
      <c r="O31">
        <v>151157.93</v>
      </c>
      <c r="P31">
        <v>59919.07</v>
      </c>
      <c r="Q31" t="s">
        <v>31</v>
      </c>
      <c r="R31" t="s">
        <v>54</v>
      </c>
      <c r="S31" t="s">
        <v>44</v>
      </c>
      <c r="T31">
        <v>31.563199999999998</v>
      </c>
    </row>
    <row r="32" spans="1:20" x14ac:dyDescent="0.25">
      <c r="A32" t="s">
        <v>200</v>
      </c>
      <c r="B32" t="s">
        <v>201</v>
      </c>
      <c r="C32" t="s">
        <v>36</v>
      </c>
      <c r="D32" t="s">
        <v>169</v>
      </c>
      <c r="E32" t="s">
        <v>202</v>
      </c>
      <c r="F32" t="s">
        <v>49</v>
      </c>
      <c r="G32" t="s">
        <v>203</v>
      </c>
      <c r="H32" t="s">
        <v>98</v>
      </c>
      <c r="I32" t="s">
        <v>68</v>
      </c>
      <c r="J32" t="s">
        <v>204</v>
      </c>
      <c r="K32">
        <v>28</v>
      </c>
      <c r="L32">
        <v>20264</v>
      </c>
      <c r="M32" t="s">
        <v>80</v>
      </c>
      <c r="N32">
        <v>482283.2</v>
      </c>
      <c r="O32">
        <v>407330.82</v>
      </c>
      <c r="P32">
        <v>74952.38</v>
      </c>
      <c r="Q32" t="s">
        <v>86</v>
      </c>
      <c r="R32" t="s">
        <v>54</v>
      </c>
      <c r="S32" t="s">
        <v>44</v>
      </c>
      <c r="T32">
        <v>44.729799999999997</v>
      </c>
    </row>
    <row r="33" spans="1:20" x14ac:dyDescent="0.25">
      <c r="A33" t="s">
        <v>205</v>
      </c>
      <c r="B33" t="s">
        <v>206</v>
      </c>
      <c r="C33" t="s">
        <v>83</v>
      </c>
      <c r="D33" t="s">
        <v>47</v>
      </c>
      <c r="E33" t="s">
        <v>184</v>
      </c>
      <c r="F33" t="s">
        <v>91</v>
      </c>
      <c r="G33" t="s">
        <v>207</v>
      </c>
      <c r="H33" t="s">
        <v>27</v>
      </c>
      <c r="I33" t="s">
        <v>28</v>
      </c>
      <c r="J33" t="s">
        <v>208</v>
      </c>
      <c r="K33">
        <v>19</v>
      </c>
      <c r="L33" t="s">
        <v>209</v>
      </c>
      <c r="M33" t="s">
        <v>71</v>
      </c>
      <c r="N33">
        <v>835031</v>
      </c>
      <c r="O33">
        <v>533460.09</v>
      </c>
      <c r="P33">
        <v>301570.90999999997</v>
      </c>
      <c r="Q33" t="s">
        <v>31</v>
      </c>
      <c r="R33" t="s">
        <v>54</v>
      </c>
      <c r="S33" t="s">
        <v>44</v>
      </c>
      <c r="T33">
        <v>14.3193</v>
      </c>
    </row>
    <row r="34" spans="1:20" x14ac:dyDescent="0.25">
      <c r="A34" t="s">
        <v>210</v>
      </c>
      <c r="B34" t="s">
        <v>211</v>
      </c>
      <c r="C34" t="s">
        <v>36</v>
      </c>
      <c r="D34" t="s">
        <v>212</v>
      </c>
      <c r="E34" t="s">
        <v>90</v>
      </c>
      <c r="F34" t="s">
        <v>49</v>
      </c>
      <c r="G34" t="s">
        <v>191</v>
      </c>
      <c r="H34" t="s">
        <v>27</v>
      </c>
      <c r="I34" t="s">
        <v>52</v>
      </c>
      <c r="J34" t="s">
        <v>213</v>
      </c>
      <c r="K34">
        <v>33</v>
      </c>
      <c r="L34">
        <v>6158</v>
      </c>
      <c r="M34" t="s">
        <v>80</v>
      </c>
      <c r="N34">
        <v>172731.9</v>
      </c>
      <c r="O34">
        <v>102478.56</v>
      </c>
      <c r="P34">
        <v>70253.34</v>
      </c>
      <c r="Q34" t="s">
        <v>62</v>
      </c>
      <c r="R34" t="s">
        <v>54</v>
      </c>
      <c r="S34" t="s">
        <v>106</v>
      </c>
      <c r="T34">
        <v>38.457000000000001</v>
      </c>
    </row>
    <row r="35" spans="1:20" x14ac:dyDescent="0.25">
      <c r="A35" t="s">
        <v>214</v>
      </c>
      <c r="B35" t="s">
        <v>215</v>
      </c>
      <c r="C35" t="s">
        <v>22</v>
      </c>
      <c r="D35" t="s">
        <v>113</v>
      </c>
      <c r="E35" t="s">
        <v>59</v>
      </c>
      <c r="F35" t="s">
        <v>25</v>
      </c>
      <c r="G35" t="s">
        <v>121</v>
      </c>
      <c r="H35" t="s">
        <v>98</v>
      </c>
      <c r="I35" t="s">
        <v>68</v>
      </c>
      <c r="J35" t="s">
        <v>216</v>
      </c>
      <c r="K35">
        <v>53</v>
      </c>
      <c r="L35">
        <v>36065</v>
      </c>
      <c r="M35" t="s">
        <v>30</v>
      </c>
      <c r="N35">
        <v>1720300.5</v>
      </c>
      <c r="O35">
        <v>1301360.45</v>
      </c>
      <c r="P35">
        <v>418940.05</v>
      </c>
      <c r="Q35" t="s">
        <v>31</v>
      </c>
      <c r="R35" t="s">
        <v>43</v>
      </c>
      <c r="S35" t="s">
        <v>44</v>
      </c>
      <c r="T35">
        <v>48.738999999999997</v>
      </c>
    </row>
    <row r="36" spans="1:20" x14ac:dyDescent="0.25">
      <c r="A36" t="s">
        <v>217</v>
      </c>
      <c r="B36" t="s">
        <v>218</v>
      </c>
      <c r="C36" t="s">
        <v>36</v>
      </c>
      <c r="D36" t="s">
        <v>74</v>
      </c>
      <c r="E36" t="s">
        <v>110</v>
      </c>
      <c r="F36" t="s">
        <v>138</v>
      </c>
      <c r="G36" t="s">
        <v>219</v>
      </c>
      <c r="H36" t="s">
        <v>27</v>
      </c>
      <c r="I36" t="s">
        <v>52</v>
      </c>
      <c r="J36" t="s">
        <v>220</v>
      </c>
      <c r="K36">
        <v>29</v>
      </c>
      <c r="L36">
        <v>49733</v>
      </c>
      <c r="M36" t="s">
        <v>30</v>
      </c>
      <c r="N36">
        <v>1298031.3</v>
      </c>
      <c r="O36">
        <v>1019782.24</v>
      </c>
      <c r="P36">
        <v>278249.06</v>
      </c>
      <c r="Q36" t="s">
        <v>86</v>
      </c>
      <c r="R36" t="s">
        <v>54</v>
      </c>
      <c r="S36" t="s">
        <v>106</v>
      </c>
      <c r="T36">
        <v>37.118699999999997</v>
      </c>
    </row>
    <row r="37" spans="1:20" x14ac:dyDescent="0.25">
      <c r="A37" t="s">
        <v>221</v>
      </c>
      <c r="B37" t="s">
        <v>222</v>
      </c>
      <c r="C37" t="s">
        <v>57</v>
      </c>
      <c r="D37" t="s">
        <v>195</v>
      </c>
      <c r="E37" t="s">
        <v>48</v>
      </c>
      <c r="F37" t="s">
        <v>49</v>
      </c>
      <c r="G37" t="s">
        <v>223</v>
      </c>
      <c r="H37" t="s">
        <v>67</v>
      </c>
      <c r="I37" t="s">
        <v>77</v>
      </c>
      <c r="J37" t="s">
        <v>224</v>
      </c>
      <c r="K37">
        <v>15</v>
      </c>
      <c r="L37">
        <v>36923</v>
      </c>
      <c r="M37" t="s">
        <v>105</v>
      </c>
      <c r="N37">
        <v>526152.75</v>
      </c>
      <c r="O37">
        <v>444035.28</v>
      </c>
      <c r="P37">
        <v>82117.47</v>
      </c>
      <c r="Q37" t="s">
        <v>62</v>
      </c>
      <c r="R37" t="s">
        <v>54</v>
      </c>
      <c r="S37" t="s">
        <v>33</v>
      </c>
      <c r="T37">
        <v>16.4315</v>
      </c>
    </row>
    <row r="38" spans="1:20" x14ac:dyDescent="0.25">
      <c r="A38" t="s">
        <v>225</v>
      </c>
      <c r="B38" t="s">
        <v>226</v>
      </c>
      <c r="C38" t="s">
        <v>118</v>
      </c>
      <c r="D38" t="s">
        <v>227</v>
      </c>
      <c r="E38" t="s">
        <v>101</v>
      </c>
      <c r="F38" t="s">
        <v>91</v>
      </c>
      <c r="G38" t="s">
        <v>228</v>
      </c>
      <c r="H38" t="s">
        <v>51</v>
      </c>
      <c r="I38" t="s">
        <v>28</v>
      </c>
      <c r="J38" t="s">
        <v>229</v>
      </c>
      <c r="K38">
        <v>12</v>
      </c>
      <c r="L38">
        <v>20877</v>
      </c>
      <c r="M38" t="s">
        <v>80</v>
      </c>
      <c r="N38">
        <v>212945.4</v>
      </c>
      <c r="O38">
        <v>175873.63</v>
      </c>
      <c r="P38">
        <v>37071.769999999997</v>
      </c>
      <c r="Q38" t="s">
        <v>31</v>
      </c>
      <c r="R38" t="s">
        <v>54</v>
      </c>
      <c r="S38" t="s">
        <v>33</v>
      </c>
      <c r="T38">
        <v>14.358700000000001</v>
      </c>
    </row>
    <row r="39" spans="1:20" x14ac:dyDescent="0.25">
      <c r="A39" t="s">
        <v>230</v>
      </c>
      <c r="B39" t="s">
        <v>231</v>
      </c>
      <c r="C39" t="s">
        <v>57</v>
      </c>
      <c r="D39" t="s">
        <v>183</v>
      </c>
      <c r="E39" t="s">
        <v>202</v>
      </c>
      <c r="F39" t="s">
        <v>49</v>
      </c>
      <c r="G39" t="s">
        <v>223</v>
      </c>
      <c r="H39" t="s">
        <v>67</v>
      </c>
      <c r="I39" t="s">
        <v>41</v>
      </c>
      <c r="J39" t="s">
        <v>42</v>
      </c>
      <c r="K39">
        <v>8</v>
      </c>
      <c r="L39">
        <v>43967</v>
      </c>
      <c r="M39" t="s">
        <v>105</v>
      </c>
      <c r="N39">
        <v>334149.2</v>
      </c>
      <c r="O39">
        <v>179960.42</v>
      </c>
      <c r="P39">
        <v>154188.78</v>
      </c>
      <c r="Q39" t="s">
        <v>62</v>
      </c>
      <c r="R39" t="s">
        <v>43</v>
      </c>
      <c r="S39" t="s">
        <v>33</v>
      </c>
      <c r="T39">
        <v>16.397500000000001</v>
      </c>
    </row>
    <row r="40" spans="1:20" x14ac:dyDescent="0.25">
      <c r="A40" t="s">
        <v>232</v>
      </c>
      <c r="B40" t="s">
        <v>233</v>
      </c>
      <c r="C40" t="s">
        <v>118</v>
      </c>
      <c r="D40" t="s">
        <v>23</v>
      </c>
      <c r="E40" t="s">
        <v>75</v>
      </c>
      <c r="F40" t="s">
        <v>60</v>
      </c>
      <c r="G40" t="s">
        <v>234</v>
      </c>
      <c r="H40" t="s">
        <v>67</v>
      </c>
      <c r="I40" t="s">
        <v>77</v>
      </c>
      <c r="J40" t="s">
        <v>235</v>
      </c>
      <c r="K40">
        <v>21</v>
      </c>
      <c r="L40">
        <v>33739</v>
      </c>
      <c r="M40" t="s">
        <v>80</v>
      </c>
      <c r="N40">
        <v>602241.15</v>
      </c>
      <c r="O40">
        <v>435451.95</v>
      </c>
      <c r="P40">
        <v>166789.20000000001</v>
      </c>
      <c r="Q40" t="s">
        <v>31</v>
      </c>
      <c r="R40" t="s">
        <v>43</v>
      </c>
      <c r="S40" t="s">
        <v>106</v>
      </c>
      <c r="T40">
        <v>6.0117000000000003</v>
      </c>
    </row>
    <row r="41" spans="1:20" x14ac:dyDescent="0.25">
      <c r="A41" t="s">
        <v>236</v>
      </c>
      <c r="B41" t="s">
        <v>237</v>
      </c>
      <c r="C41" t="s">
        <v>83</v>
      </c>
      <c r="D41" t="s">
        <v>238</v>
      </c>
      <c r="E41" t="s">
        <v>110</v>
      </c>
      <c r="F41" t="s">
        <v>49</v>
      </c>
      <c r="G41" t="s">
        <v>76</v>
      </c>
      <c r="H41" t="s">
        <v>98</v>
      </c>
      <c r="I41" t="s">
        <v>68</v>
      </c>
      <c r="J41" t="s">
        <v>180</v>
      </c>
      <c r="K41">
        <v>100</v>
      </c>
      <c r="L41">
        <v>2696</v>
      </c>
      <c r="M41" t="s">
        <v>30</v>
      </c>
      <c r="N41">
        <v>242640</v>
      </c>
      <c r="O41">
        <v>202918.41</v>
      </c>
      <c r="P41">
        <v>39721.589999999997</v>
      </c>
      <c r="Q41" t="s">
        <v>62</v>
      </c>
      <c r="R41" t="s">
        <v>54</v>
      </c>
      <c r="S41" t="s">
        <v>44</v>
      </c>
      <c r="T41">
        <v>7.5500999999999996</v>
      </c>
    </row>
    <row r="42" spans="1:20" x14ac:dyDescent="0.25">
      <c r="A42" t="s">
        <v>239</v>
      </c>
      <c r="B42" t="s">
        <v>240</v>
      </c>
      <c r="C42" t="s">
        <v>57</v>
      </c>
      <c r="D42" t="s">
        <v>195</v>
      </c>
      <c r="E42" t="s">
        <v>59</v>
      </c>
      <c r="F42" t="s">
        <v>138</v>
      </c>
      <c r="G42" t="s">
        <v>241</v>
      </c>
      <c r="H42" t="s">
        <v>98</v>
      </c>
      <c r="I42" t="s">
        <v>28</v>
      </c>
      <c r="J42" t="s">
        <v>140</v>
      </c>
      <c r="K42">
        <v>84</v>
      </c>
      <c r="L42" t="s">
        <v>242</v>
      </c>
      <c r="M42" t="s">
        <v>105</v>
      </c>
      <c r="N42">
        <v>1466165.4</v>
      </c>
      <c r="O42">
        <v>1309680.72</v>
      </c>
      <c r="P42">
        <v>156484.68</v>
      </c>
      <c r="Q42" t="s">
        <v>62</v>
      </c>
      <c r="R42" t="s">
        <v>32</v>
      </c>
      <c r="S42" t="s">
        <v>106</v>
      </c>
      <c r="T42">
        <v>51.031500000000001</v>
      </c>
    </row>
    <row r="43" spans="1:20" x14ac:dyDescent="0.25">
      <c r="A43" t="s">
        <v>243</v>
      </c>
      <c r="B43" t="s">
        <v>244</v>
      </c>
      <c r="C43" t="s">
        <v>57</v>
      </c>
      <c r="D43" t="s">
        <v>96</v>
      </c>
      <c r="E43" t="s">
        <v>24</v>
      </c>
      <c r="F43" t="s">
        <v>49</v>
      </c>
      <c r="G43" t="s">
        <v>245</v>
      </c>
      <c r="H43" t="s">
        <v>27</v>
      </c>
      <c r="I43" t="s">
        <v>68</v>
      </c>
      <c r="J43" t="s">
        <v>246</v>
      </c>
      <c r="K43">
        <v>86</v>
      </c>
      <c r="L43">
        <v>6446</v>
      </c>
      <c r="M43" t="s">
        <v>30</v>
      </c>
      <c r="N43">
        <v>498920.4</v>
      </c>
      <c r="O43">
        <v>342998.02</v>
      </c>
      <c r="P43">
        <v>155922.38</v>
      </c>
      <c r="Q43" t="s">
        <v>86</v>
      </c>
      <c r="R43" t="s">
        <v>43</v>
      </c>
      <c r="S43" t="s">
        <v>106</v>
      </c>
      <c r="T43">
        <v>18.570799999999998</v>
      </c>
    </row>
    <row r="44" spans="1:20" x14ac:dyDescent="0.25">
      <c r="A44" t="s">
        <v>247</v>
      </c>
      <c r="B44" t="s">
        <v>248</v>
      </c>
      <c r="C44" t="s">
        <v>22</v>
      </c>
      <c r="D44" t="s">
        <v>212</v>
      </c>
      <c r="E44" t="s">
        <v>125</v>
      </c>
      <c r="F44" t="s">
        <v>138</v>
      </c>
      <c r="G44" t="s">
        <v>223</v>
      </c>
      <c r="H44" t="s">
        <v>51</v>
      </c>
      <c r="I44" t="s">
        <v>52</v>
      </c>
      <c r="J44" t="s">
        <v>249</v>
      </c>
      <c r="K44">
        <v>67</v>
      </c>
      <c r="L44">
        <v>43288</v>
      </c>
      <c r="M44" t="s">
        <v>71</v>
      </c>
      <c r="N44">
        <v>2900296</v>
      </c>
      <c r="O44">
        <v>2442399.7999999998</v>
      </c>
      <c r="P44">
        <v>457896.2</v>
      </c>
      <c r="Q44" t="s">
        <v>31</v>
      </c>
      <c r="R44" t="s">
        <v>32</v>
      </c>
      <c r="S44" t="s">
        <v>33</v>
      </c>
      <c r="T44">
        <v>39.527700000000003</v>
      </c>
    </row>
    <row r="45" spans="1:20" x14ac:dyDescent="0.25">
      <c r="A45" t="s">
        <v>250</v>
      </c>
      <c r="B45" t="s">
        <v>251</v>
      </c>
      <c r="C45" t="s">
        <v>118</v>
      </c>
      <c r="D45" t="s">
        <v>47</v>
      </c>
      <c r="E45" t="s">
        <v>252</v>
      </c>
      <c r="F45" t="s">
        <v>138</v>
      </c>
      <c r="G45" t="s">
        <v>253</v>
      </c>
      <c r="H45" t="s">
        <v>98</v>
      </c>
      <c r="I45" t="s">
        <v>68</v>
      </c>
      <c r="J45" t="s">
        <v>254</v>
      </c>
      <c r="K45">
        <v>95</v>
      </c>
      <c r="L45">
        <v>24213</v>
      </c>
      <c r="M45" t="s">
        <v>30</v>
      </c>
      <c r="N45">
        <v>2070211.5</v>
      </c>
      <c r="O45">
        <v>1500469.63</v>
      </c>
      <c r="P45">
        <v>569741.87</v>
      </c>
      <c r="Q45" t="s">
        <v>62</v>
      </c>
      <c r="R45" t="s">
        <v>54</v>
      </c>
      <c r="S45" t="s">
        <v>106</v>
      </c>
      <c r="T45">
        <v>13.5762</v>
      </c>
    </row>
    <row r="46" spans="1:20" x14ac:dyDescent="0.25">
      <c r="A46" t="s">
        <v>255</v>
      </c>
      <c r="B46" t="s">
        <v>256</v>
      </c>
      <c r="C46" t="s">
        <v>36</v>
      </c>
      <c r="D46" t="s">
        <v>212</v>
      </c>
      <c r="E46" t="s">
        <v>90</v>
      </c>
      <c r="F46" t="s">
        <v>39</v>
      </c>
      <c r="G46" t="s">
        <v>203</v>
      </c>
      <c r="H46" t="s">
        <v>27</v>
      </c>
      <c r="I46" t="s">
        <v>68</v>
      </c>
      <c r="J46" t="s">
        <v>229</v>
      </c>
      <c r="K46">
        <v>37</v>
      </c>
      <c r="L46">
        <v>27244</v>
      </c>
      <c r="M46" t="s">
        <v>71</v>
      </c>
      <c r="N46">
        <v>1008028</v>
      </c>
      <c r="O46">
        <v>649757.4</v>
      </c>
      <c r="P46">
        <v>358270.6</v>
      </c>
      <c r="Q46" t="s">
        <v>31</v>
      </c>
      <c r="R46" t="s">
        <v>54</v>
      </c>
      <c r="S46" t="s">
        <v>106</v>
      </c>
      <c r="T46">
        <v>49.277900000000002</v>
      </c>
    </row>
    <row r="47" spans="1:20" x14ac:dyDescent="0.25">
      <c r="A47" t="s">
        <v>257</v>
      </c>
      <c r="B47" t="s">
        <v>258</v>
      </c>
      <c r="C47" t="s">
        <v>36</v>
      </c>
      <c r="D47" t="s">
        <v>74</v>
      </c>
      <c r="E47" t="s">
        <v>178</v>
      </c>
      <c r="F47" t="s">
        <v>91</v>
      </c>
      <c r="G47" t="s">
        <v>144</v>
      </c>
      <c r="H47" t="s">
        <v>51</v>
      </c>
      <c r="I47" t="s">
        <v>41</v>
      </c>
      <c r="J47" t="s">
        <v>259</v>
      </c>
      <c r="K47">
        <v>87</v>
      </c>
      <c r="L47">
        <v>40277</v>
      </c>
      <c r="M47" t="s">
        <v>30</v>
      </c>
      <c r="N47">
        <v>3153689.1</v>
      </c>
      <c r="O47">
        <v>2569319.6</v>
      </c>
      <c r="P47">
        <v>584369.5</v>
      </c>
      <c r="Q47" t="s">
        <v>86</v>
      </c>
      <c r="R47" t="s">
        <v>54</v>
      </c>
      <c r="S47" t="s">
        <v>44</v>
      </c>
      <c r="T47">
        <v>19.6417</v>
      </c>
    </row>
    <row r="48" spans="1:20" x14ac:dyDescent="0.25">
      <c r="A48" t="s">
        <v>260</v>
      </c>
      <c r="B48" t="s">
        <v>261</v>
      </c>
      <c r="C48" t="s">
        <v>36</v>
      </c>
      <c r="D48" t="s">
        <v>119</v>
      </c>
      <c r="E48" t="s">
        <v>75</v>
      </c>
      <c r="F48" t="s">
        <v>39</v>
      </c>
      <c r="G48" t="s">
        <v>241</v>
      </c>
      <c r="H48" t="s">
        <v>98</v>
      </c>
      <c r="I48" t="s">
        <v>41</v>
      </c>
      <c r="J48" t="s">
        <v>186</v>
      </c>
      <c r="K48">
        <v>79</v>
      </c>
      <c r="L48">
        <v>5043</v>
      </c>
      <c r="M48" t="s">
        <v>262</v>
      </c>
      <c r="N48">
        <v>0</v>
      </c>
      <c r="O48">
        <v>0</v>
      </c>
      <c r="P48">
        <v>0</v>
      </c>
      <c r="Q48" t="s">
        <v>31</v>
      </c>
      <c r="R48" t="s">
        <v>32</v>
      </c>
      <c r="S48" t="s">
        <v>44</v>
      </c>
      <c r="T48">
        <v>3.2978999999999998</v>
      </c>
    </row>
    <row r="49" spans="1:20" x14ac:dyDescent="0.25">
      <c r="A49" t="s">
        <v>263</v>
      </c>
      <c r="B49" t="s">
        <v>264</v>
      </c>
      <c r="C49" t="s">
        <v>57</v>
      </c>
      <c r="D49" t="s">
        <v>212</v>
      </c>
      <c r="E49" t="s">
        <v>90</v>
      </c>
      <c r="F49" t="s">
        <v>60</v>
      </c>
      <c r="G49" t="s">
        <v>265</v>
      </c>
      <c r="H49" t="s">
        <v>51</v>
      </c>
      <c r="I49" t="s">
        <v>41</v>
      </c>
      <c r="J49" t="s">
        <v>249</v>
      </c>
      <c r="L49">
        <v>20206</v>
      </c>
      <c r="M49" t="s">
        <v>105</v>
      </c>
      <c r="N49">
        <v>364718.3</v>
      </c>
      <c r="O49">
        <v>253948.95</v>
      </c>
      <c r="P49">
        <v>110769.35</v>
      </c>
      <c r="Q49" t="s">
        <v>31</v>
      </c>
      <c r="R49" t="s">
        <v>54</v>
      </c>
      <c r="S49" t="s">
        <v>33</v>
      </c>
      <c r="T49">
        <v>23.7774</v>
      </c>
    </row>
    <row r="50" spans="1:20" x14ac:dyDescent="0.25">
      <c r="A50" t="s">
        <v>266</v>
      </c>
      <c r="B50" t="s">
        <v>267</v>
      </c>
      <c r="C50" t="s">
        <v>22</v>
      </c>
      <c r="D50" t="s">
        <v>23</v>
      </c>
      <c r="E50" t="s">
        <v>48</v>
      </c>
      <c r="F50" t="s">
        <v>60</v>
      </c>
      <c r="G50" t="s">
        <v>84</v>
      </c>
      <c r="H50" t="s">
        <v>67</v>
      </c>
      <c r="I50" t="s">
        <v>52</v>
      </c>
      <c r="J50" t="s">
        <v>268</v>
      </c>
      <c r="K50">
        <v>79</v>
      </c>
      <c r="L50">
        <v>34372</v>
      </c>
      <c r="M50" t="s">
        <v>105</v>
      </c>
      <c r="N50">
        <v>2579618.6</v>
      </c>
      <c r="O50">
        <v>1304966.1599999999</v>
      </c>
      <c r="P50">
        <v>1274652.44</v>
      </c>
      <c r="Q50" t="s">
        <v>86</v>
      </c>
      <c r="R50" t="s">
        <v>43</v>
      </c>
      <c r="S50" t="s">
        <v>106</v>
      </c>
      <c r="T50">
        <v>37.255200000000002</v>
      </c>
    </row>
    <row r="51" spans="1:20" x14ac:dyDescent="0.25">
      <c r="A51" t="s">
        <v>269</v>
      </c>
      <c r="B51" t="s">
        <v>270</v>
      </c>
      <c r="C51" t="s">
        <v>57</v>
      </c>
      <c r="D51" t="s">
        <v>113</v>
      </c>
      <c r="E51" t="s">
        <v>48</v>
      </c>
      <c r="F51" t="s">
        <v>138</v>
      </c>
      <c r="G51" t="s">
        <v>271</v>
      </c>
      <c r="H51" t="s">
        <v>98</v>
      </c>
      <c r="I51" t="s">
        <v>41</v>
      </c>
      <c r="J51" t="s">
        <v>272</v>
      </c>
      <c r="K51">
        <v>54</v>
      </c>
      <c r="L51">
        <v>22295</v>
      </c>
      <c r="M51" t="s">
        <v>105</v>
      </c>
      <c r="N51">
        <v>1143733.5</v>
      </c>
      <c r="O51">
        <v>679663.94</v>
      </c>
      <c r="P51">
        <v>464069.56</v>
      </c>
      <c r="Q51" t="s">
        <v>86</v>
      </c>
      <c r="R51" t="s">
        <v>43</v>
      </c>
      <c r="S51" t="s">
        <v>33</v>
      </c>
      <c r="T51">
        <v>59.599400000000003</v>
      </c>
    </row>
    <row r="52" spans="1:20" x14ac:dyDescent="0.25">
      <c r="A52" t="s">
        <v>273</v>
      </c>
      <c r="B52" t="s">
        <v>274</v>
      </c>
      <c r="C52" t="s">
        <v>57</v>
      </c>
      <c r="D52" t="s">
        <v>169</v>
      </c>
      <c r="E52" t="s">
        <v>130</v>
      </c>
      <c r="F52" t="s">
        <v>25</v>
      </c>
      <c r="G52" t="s">
        <v>275</v>
      </c>
      <c r="H52" t="s">
        <v>51</v>
      </c>
      <c r="I52" t="s">
        <v>52</v>
      </c>
      <c r="J52" t="s">
        <v>276</v>
      </c>
      <c r="K52">
        <v>27</v>
      </c>
      <c r="L52">
        <v>41881</v>
      </c>
      <c r="M52" t="s">
        <v>80</v>
      </c>
      <c r="N52">
        <v>961168.95</v>
      </c>
      <c r="O52">
        <v>526339.96</v>
      </c>
      <c r="P52">
        <v>434828.99</v>
      </c>
      <c r="Q52" t="s">
        <v>86</v>
      </c>
      <c r="R52" t="s">
        <v>54</v>
      </c>
      <c r="S52" t="s">
        <v>106</v>
      </c>
      <c r="T52">
        <v>39.443199999999997</v>
      </c>
    </row>
    <row r="53" spans="1:20" x14ac:dyDescent="0.25">
      <c r="A53" t="s">
        <v>277</v>
      </c>
      <c r="B53" t="s">
        <v>278</v>
      </c>
      <c r="C53" t="s">
        <v>57</v>
      </c>
      <c r="D53" t="s">
        <v>47</v>
      </c>
      <c r="E53" t="s">
        <v>178</v>
      </c>
      <c r="F53" t="s">
        <v>138</v>
      </c>
      <c r="G53" t="s">
        <v>121</v>
      </c>
      <c r="H53" t="s">
        <v>27</v>
      </c>
      <c r="I53" t="s">
        <v>52</v>
      </c>
      <c r="J53" t="s">
        <v>279</v>
      </c>
      <c r="K53">
        <v>92</v>
      </c>
      <c r="L53">
        <v>15615</v>
      </c>
      <c r="M53" t="s">
        <v>71</v>
      </c>
      <c r="N53">
        <v>1436580</v>
      </c>
      <c r="O53">
        <v>822518.73</v>
      </c>
      <c r="P53">
        <v>614061.27</v>
      </c>
      <c r="Q53" t="s">
        <v>86</v>
      </c>
      <c r="R53" t="s">
        <v>43</v>
      </c>
      <c r="S53" t="s">
        <v>33</v>
      </c>
      <c r="T53">
        <v>27.539200000000001</v>
      </c>
    </row>
    <row r="54" spans="1:20" x14ac:dyDescent="0.25">
      <c r="A54" t="s">
        <v>280</v>
      </c>
      <c r="B54" t="s">
        <v>281</v>
      </c>
      <c r="C54" t="s">
        <v>22</v>
      </c>
      <c r="D54" t="s">
        <v>109</v>
      </c>
      <c r="E54" t="s">
        <v>120</v>
      </c>
      <c r="F54" t="s">
        <v>138</v>
      </c>
      <c r="G54" t="s">
        <v>282</v>
      </c>
      <c r="H54" t="s">
        <v>98</v>
      </c>
      <c r="I54" t="s">
        <v>52</v>
      </c>
      <c r="J54" t="s">
        <v>283</v>
      </c>
      <c r="K54">
        <v>82</v>
      </c>
      <c r="L54">
        <v>43717</v>
      </c>
      <c r="M54" t="s">
        <v>80</v>
      </c>
      <c r="N54">
        <v>3047074.9</v>
      </c>
      <c r="O54">
        <v>1830729.5</v>
      </c>
      <c r="P54">
        <v>1216345.3999999999</v>
      </c>
      <c r="Q54" t="s">
        <v>86</v>
      </c>
      <c r="R54" t="s">
        <v>43</v>
      </c>
      <c r="S54" t="s">
        <v>33</v>
      </c>
      <c r="T54">
        <v>5.4478999999999997</v>
      </c>
    </row>
    <row r="55" spans="1:20" x14ac:dyDescent="0.25">
      <c r="A55" t="s">
        <v>284</v>
      </c>
      <c r="B55" t="s">
        <v>285</v>
      </c>
      <c r="C55" t="s">
        <v>57</v>
      </c>
      <c r="D55" t="s">
        <v>169</v>
      </c>
      <c r="E55" t="s">
        <v>75</v>
      </c>
      <c r="F55" t="s">
        <v>60</v>
      </c>
      <c r="G55" t="s">
        <v>275</v>
      </c>
      <c r="H55" t="s">
        <v>27</v>
      </c>
      <c r="I55" t="s">
        <v>68</v>
      </c>
      <c r="J55" t="s">
        <v>235</v>
      </c>
      <c r="K55">
        <v>82</v>
      </c>
      <c r="L55">
        <v>20670</v>
      </c>
      <c r="M55" t="s">
        <v>71</v>
      </c>
      <c r="N55">
        <v>1694940</v>
      </c>
      <c r="O55">
        <v>1203998.04</v>
      </c>
      <c r="P55">
        <v>490941.96</v>
      </c>
      <c r="Q55" t="s">
        <v>62</v>
      </c>
      <c r="R55" t="s">
        <v>43</v>
      </c>
      <c r="S55" t="s">
        <v>33</v>
      </c>
      <c r="T55">
        <v>52.915399999999998</v>
      </c>
    </row>
    <row r="56" spans="1:20" x14ac:dyDescent="0.25">
      <c r="A56" t="s">
        <v>286</v>
      </c>
      <c r="B56" t="s">
        <v>287</v>
      </c>
      <c r="C56" t="s">
        <v>36</v>
      </c>
      <c r="D56" t="s">
        <v>119</v>
      </c>
      <c r="E56" t="s">
        <v>178</v>
      </c>
      <c r="F56" t="s">
        <v>91</v>
      </c>
      <c r="G56" t="s">
        <v>288</v>
      </c>
      <c r="H56" t="s">
        <v>67</v>
      </c>
      <c r="I56" t="s">
        <v>68</v>
      </c>
      <c r="J56" t="s">
        <v>145</v>
      </c>
      <c r="K56">
        <v>57</v>
      </c>
      <c r="L56">
        <v>19807</v>
      </c>
      <c r="M56" t="s">
        <v>71</v>
      </c>
      <c r="N56">
        <v>1128999</v>
      </c>
      <c r="O56">
        <v>777676.29</v>
      </c>
      <c r="P56">
        <v>351322.71</v>
      </c>
      <c r="Q56" t="s">
        <v>31</v>
      </c>
      <c r="R56" t="s">
        <v>32</v>
      </c>
      <c r="S56" t="s">
        <v>33</v>
      </c>
      <c r="T56">
        <v>17.842400000000001</v>
      </c>
    </row>
    <row r="57" spans="1:20" x14ac:dyDescent="0.25">
      <c r="A57" t="s">
        <v>289</v>
      </c>
      <c r="B57" t="s">
        <v>290</v>
      </c>
      <c r="C57" t="s">
        <v>83</v>
      </c>
      <c r="D57" t="s">
        <v>113</v>
      </c>
      <c r="E57" t="s">
        <v>59</v>
      </c>
      <c r="F57" t="s">
        <v>91</v>
      </c>
      <c r="G57" t="s">
        <v>152</v>
      </c>
      <c r="H57" t="s">
        <v>51</v>
      </c>
      <c r="I57" t="s">
        <v>41</v>
      </c>
      <c r="J57" t="s">
        <v>216</v>
      </c>
      <c r="K57">
        <v>9</v>
      </c>
      <c r="L57">
        <v>21959</v>
      </c>
      <c r="M57" t="s">
        <v>71</v>
      </c>
      <c r="N57">
        <v>197631</v>
      </c>
      <c r="O57">
        <v>153458.89000000001</v>
      </c>
      <c r="P57">
        <v>44172.11</v>
      </c>
      <c r="Q57" t="s">
        <v>62</v>
      </c>
      <c r="R57" t="s">
        <v>54</v>
      </c>
      <c r="S57" t="s">
        <v>33</v>
      </c>
      <c r="T57">
        <v>29.380600000000001</v>
      </c>
    </row>
    <row r="58" spans="1:20" x14ac:dyDescent="0.25">
      <c r="A58" t="s">
        <v>291</v>
      </c>
      <c r="B58" t="s">
        <v>292</v>
      </c>
      <c r="C58" t="s">
        <v>36</v>
      </c>
      <c r="D58" t="s">
        <v>238</v>
      </c>
      <c r="E58" t="s">
        <v>125</v>
      </c>
      <c r="F58" t="s">
        <v>60</v>
      </c>
      <c r="G58" t="s">
        <v>293</v>
      </c>
      <c r="H58" t="s">
        <v>98</v>
      </c>
      <c r="I58" t="s">
        <v>68</v>
      </c>
      <c r="J58" t="s">
        <v>276</v>
      </c>
      <c r="K58">
        <v>28</v>
      </c>
      <c r="L58">
        <v>28177</v>
      </c>
      <c r="M58" t="s">
        <v>71</v>
      </c>
      <c r="N58">
        <v>788956</v>
      </c>
      <c r="O58">
        <v>692061.97</v>
      </c>
      <c r="P58">
        <v>96894.03</v>
      </c>
      <c r="Q58" t="s">
        <v>86</v>
      </c>
      <c r="R58" t="s">
        <v>54</v>
      </c>
      <c r="S58" t="s">
        <v>106</v>
      </c>
      <c r="T58">
        <v>59.504399999999997</v>
      </c>
    </row>
    <row r="59" spans="1:20" x14ac:dyDescent="0.25">
      <c r="A59" t="s">
        <v>294</v>
      </c>
      <c r="B59" t="s">
        <v>295</v>
      </c>
      <c r="C59" t="s">
        <v>118</v>
      </c>
      <c r="D59" t="s">
        <v>189</v>
      </c>
      <c r="E59" t="s">
        <v>75</v>
      </c>
      <c r="F59" t="s">
        <v>49</v>
      </c>
      <c r="G59" t="s">
        <v>159</v>
      </c>
      <c r="H59" t="s">
        <v>67</v>
      </c>
      <c r="I59" t="s">
        <v>28</v>
      </c>
      <c r="J59" t="s">
        <v>196</v>
      </c>
      <c r="K59">
        <v>83</v>
      </c>
      <c r="L59">
        <v>35688</v>
      </c>
      <c r="M59" t="s">
        <v>71</v>
      </c>
      <c r="N59">
        <v>2962104</v>
      </c>
      <c r="O59">
        <v>2011689.9</v>
      </c>
      <c r="P59">
        <v>950414.1</v>
      </c>
      <c r="Q59" t="s">
        <v>86</v>
      </c>
      <c r="R59" t="s">
        <v>54</v>
      </c>
      <c r="S59" t="s">
        <v>106</v>
      </c>
      <c r="T59">
        <v>14.816000000000001</v>
      </c>
    </row>
    <row r="60" spans="1:20" x14ac:dyDescent="0.25">
      <c r="A60" t="s">
        <v>296</v>
      </c>
      <c r="B60" t="s">
        <v>297</v>
      </c>
      <c r="C60" t="s">
        <v>83</v>
      </c>
      <c r="D60" t="s">
        <v>227</v>
      </c>
      <c r="E60" t="s">
        <v>252</v>
      </c>
      <c r="F60" t="s">
        <v>60</v>
      </c>
      <c r="G60" t="s">
        <v>298</v>
      </c>
      <c r="H60" t="s">
        <v>51</v>
      </c>
      <c r="I60" t="s">
        <v>77</v>
      </c>
      <c r="J60" t="s">
        <v>53</v>
      </c>
      <c r="K60">
        <v>2</v>
      </c>
      <c r="L60">
        <v>38910</v>
      </c>
      <c r="M60" t="s">
        <v>30</v>
      </c>
      <c r="N60">
        <v>70038</v>
      </c>
      <c r="O60">
        <v>40539.269999999997</v>
      </c>
      <c r="P60">
        <v>29498.73</v>
      </c>
      <c r="Q60" t="s">
        <v>31</v>
      </c>
      <c r="R60" t="s">
        <v>43</v>
      </c>
      <c r="S60" t="s">
        <v>33</v>
      </c>
      <c r="T60">
        <v>21.322199999999999</v>
      </c>
    </row>
    <row r="61" spans="1:20" x14ac:dyDescent="0.25">
      <c r="A61" t="s">
        <v>299</v>
      </c>
      <c r="B61" t="s">
        <v>300</v>
      </c>
      <c r="C61" t="s">
        <v>36</v>
      </c>
      <c r="D61" t="s">
        <v>74</v>
      </c>
      <c r="E61" t="s">
        <v>90</v>
      </c>
      <c r="F61" t="s">
        <v>138</v>
      </c>
      <c r="G61" t="s">
        <v>207</v>
      </c>
      <c r="H61" t="s">
        <v>51</v>
      </c>
      <c r="I61" t="s">
        <v>41</v>
      </c>
      <c r="J61" t="s">
        <v>53</v>
      </c>
      <c r="K61">
        <v>40</v>
      </c>
      <c r="L61">
        <v>16597</v>
      </c>
      <c r="M61" t="s">
        <v>71</v>
      </c>
      <c r="N61">
        <v>663880</v>
      </c>
      <c r="O61">
        <v>573425.79</v>
      </c>
      <c r="P61">
        <v>90454.21</v>
      </c>
      <c r="Q61" t="s">
        <v>86</v>
      </c>
      <c r="R61" t="s">
        <v>32</v>
      </c>
      <c r="S61" t="s">
        <v>106</v>
      </c>
      <c r="T61">
        <v>30.089200000000002</v>
      </c>
    </row>
    <row r="62" spans="1:20" x14ac:dyDescent="0.25">
      <c r="A62" t="s">
        <v>301</v>
      </c>
      <c r="B62" t="s">
        <v>302</v>
      </c>
      <c r="C62" t="s">
        <v>57</v>
      </c>
      <c r="D62" t="s">
        <v>119</v>
      </c>
      <c r="E62" t="s">
        <v>66</v>
      </c>
      <c r="F62" t="s">
        <v>60</v>
      </c>
      <c r="G62" t="s">
        <v>303</v>
      </c>
      <c r="H62" t="s">
        <v>51</v>
      </c>
      <c r="I62" t="s">
        <v>52</v>
      </c>
      <c r="J62" t="s">
        <v>272</v>
      </c>
      <c r="K62">
        <v>60</v>
      </c>
      <c r="L62">
        <v>47960</v>
      </c>
      <c r="M62" t="s">
        <v>71</v>
      </c>
      <c r="N62">
        <v>2877600</v>
      </c>
      <c r="O62">
        <v>1763535.9</v>
      </c>
      <c r="P62">
        <v>1114064.1000000001</v>
      </c>
      <c r="Q62" t="s">
        <v>86</v>
      </c>
      <c r="R62" t="s">
        <v>43</v>
      </c>
      <c r="S62" t="s">
        <v>106</v>
      </c>
      <c r="T62">
        <v>39.064700000000002</v>
      </c>
    </row>
    <row r="63" spans="1:20" x14ac:dyDescent="0.25">
      <c r="A63" t="s">
        <v>304</v>
      </c>
      <c r="B63" t="s">
        <v>305</v>
      </c>
      <c r="C63" t="s">
        <v>57</v>
      </c>
      <c r="D63" t="s">
        <v>119</v>
      </c>
      <c r="E63" t="s">
        <v>24</v>
      </c>
      <c r="F63" t="s">
        <v>138</v>
      </c>
      <c r="G63" t="s">
        <v>306</v>
      </c>
      <c r="H63" t="s">
        <v>98</v>
      </c>
      <c r="I63" t="s">
        <v>68</v>
      </c>
      <c r="J63" t="s">
        <v>149</v>
      </c>
      <c r="K63">
        <v>100</v>
      </c>
      <c r="L63">
        <v>47317</v>
      </c>
      <c r="M63" t="s">
        <v>71</v>
      </c>
      <c r="N63">
        <v>4731700</v>
      </c>
      <c r="O63">
        <v>3380926.2</v>
      </c>
      <c r="P63">
        <v>1350773.8</v>
      </c>
      <c r="Q63" t="s">
        <v>62</v>
      </c>
      <c r="R63" t="s">
        <v>54</v>
      </c>
      <c r="S63" t="s">
        <v>44</v>
      </c>
      <c r="T63">
        <v>39.473999999999997</v>
      </c>
    </row>
    <row r="64" spans="1:20" x14ac:dyDescent="0.25">
      <c r="A64" t="s">
        <v>307</v>
      </c>
      <c r="B64" t="s">
        <v>308</v>
      </c>
      <c r="C64" t="s">
        <v>118</v>
      </c>
      <c r="D64" t="s">
        <v>109</v>
      </c>
      <c r="E64" t="s">
        <v>190</v>
      </c>
      <c r="F64" t="s">
        <v>49</v>
      </c>
      <c r="G64" t="s">
        <v>271</v>
      </c>
      <c r="H64" t="s">
        <v>67</v>
      </c>
      <c r="I64" t="s">
        <v>52</v>
      </c>
      <c r="J64" t="s">
        <v>216</v>
      </c>
      <c r="K64">
        <v>10</v>
      </c>
      <c r="L64">
        <v>48905</v>
      </c>
      <c r="M64" t="s">
        <v>71</v>
      </c>
      <c r="N64">
        <v>489050</v>
      </c>
      <c r="O64">
        <v>418663.7</v>
      </c>
      <c r="P64">
        <v>70386.3</v>
      </c>
      <c r="Q64" t="s">
        <v>31</v>
      </c>
      <c r="R64" t="s">
        <v>54</v>
      </c>
      <c r="S64" t="s">
        <v>44</v>
      </c>
      <c r="T64">
        <v>24.813300000000002</v>
      </c>
    </row>
    <row r="65" spans="1:20" x14ac:dyDescent="0.25">
      <c r="A65" t="s">
        <v>309</v>
      </c>
      <c r="B65" t="s">
        <v>310</v>
      </c>
      <c r="C65" t="s">
        <v>22</v>
      </c>
      <c r="D65" t="s">
        <v>311</v>
      </c>
      <c r="E65" t="s">
        <v>125</v>
      </c>
      <c r="F65" t="s">
        <v>60</v>
      </c>
      <c r="G65" t="s">
        <v>293</v>
      </c>
      <c r="H65" t="s">
        <v>67</v>
      </c>
      <c r="I65" t="s">
        <v>52</v>
      </c>
      <c r="J65" t="s">
        <v>283</v>
      </c>
      <c r="K65">
        <v>74</v>
      </c>
      <c r="L65">
        <v>18213</v>
      </c>
      <c r="M65" t="s">
        <v>30</v>
      </c>
      <c r="N65">
        <v>1212985.8</v>
      </c>
      <c r="O65">
        <v>998906.94</v>
      </c>
      <c r="P65">
        <v>214078.86</v>
      </c>
      <c r="Q65" t="s">
        <v>86</v>
      </c>
      <c r="R65" t="s">
        <v>32</v>
      </c>
      <c r="S65" t="s">
        <v>33</v>
      </c>
      <c r="T65">
        <v>24.156700000000001</v>
      </c>
    </row>
    <row r="66" spans="1:20" x14ac:dyDescent="0.25">
      <c r="A66" t="s">
        <v>312</v>
      </c>
      <c r="B66" t="s">
        <v>313</v>
      </c>
      <c r="C66" t="s">
        <v>118</v>
      </c>
      <c r="D66" t="s">
        <v>227</v>
      </c>
      <c r="E66" t="s">
        <v>38</v>
      </c>
      <c r="F66" t="s">
        <v>91</v>
      </c>
      <c r="G66" t="s">
        <v>314</v>
      </c>
      <c r="H66" t="s">
        <v>98</v>
      </c>
      <c r="I66" t="s">
        <v>77</v>
      </c>
      <c r="J66" t="s">
        <v>254</v>
      </c>
      <c r="K66">
        <v>46</v>
      </c>
      <c r="L66">
        <v>18277</v>
      </c>
      <c r="M66" t="s">
        <v>105</v>
      </c>
      <c r="N66">
        <v>798704.9</v>
      </c>
      <c r="O66">
        <v>539664.52</v>
      </c>
      <c r="P66">
        <v>259040.38</v>
      </c>
      <c r="Q66" t="s">
        <v>62</v>
      </c>
      <c r="R66" t="s">
        <v>32</v>
      </c>
      <c r="S66" t="s">
        <v>106</v>
      </c>
      <c r="T66">
        <v>18.724599999999999</v>
      </c>
    </row>
    <row r="67" spans="1:20" x14ac:dyDescent="0.25">
      <c r="A67" t="s">
        <v>315</v>
      </c>
      <c r="B67" t="s">
        <v>316</v>
      </c>
      <c r="C67" t="s">
        <v>36</v>
      </c>
      <c r="D67" t="s">
        <v>238</v>
      </c>
      <c r="E67" t="s">
        <v>120</v>
      </c>
      <c r="F67" t="s">
        <v>91</v>
      </c>
      <c r="G67" t="s">
        <v>317</v>
      </c>
      <c r="H67" t="s">
        <v>27</v>
      </c>
      <c r="I67" t="s">
        <v>77</v>
      </c>
      <c r="J67" t="s">
        <v>78</v>
      </c>
      <c r="K67">
        <v>28</v>
      </c>
      <c r="L67">
        <v>2445</v>
      </c>
      <c r="M67" t="s">
        <v>30</v>
      </c>
      <c r="N67">
        <v>61614</v>
      </c>
      <c r="O67">
        <v>55112.02</v>
      </c>
      <c r="P67">
        <v>6501.98</v>
      </c>
      <c r="Q67" t="s">
        <v>62</v>
      </c>
      <c r="R67" t="s">
        <v>43</v>
      </c>
      <c r="S67" t="s">
        <v>44</v>
      </c>
      <c r="T67">
        <v>33.350999999999999</v>
      </c>
    </row>
    <row r="68" spans="1:20" x14ac:dyDescent="0.25">
      <c r="A68" t="s">
        <v>318</v>
      </c>
      <c r="B68" t="s">
        <v>319</v>
      </c>
      <c r="C68" t="s">
        <v>83</v>
      </c>
      <c r="D68" t="s">
        <v>183</v>
      </c>
      <c r="E68" t="s">
        <v>178</v>
      </c>
      <c r="F68" t="s">
        <v>49</v>
      </c>
      <c r="G68" t="s">
        <v>320</v>
      </c>
      <c r="H68" t="s">
        <v>98</v>
      </c>
      <c r="I68" t="s">
        <v>41</v>
      </c>
      <c r="J68" t="s">
        <v>321</v>
      </c>
      <c r="K68">
        <v>40</v>
      </c>
      <c r="L68">
        <v>48105</v>
      </c>
      <c r="M68" t="s">
        <v>105</v>
      </c>
      <c r="N68">
        <v>1827990</v>
      </c>
      <c r="O68">
        <v>1523490.42</v>
      </c>
      <c r="P68">
        <v>304499.58</v>
      </c>
      <c r="Q68" t="s">
        <v>31</v>
      </c>
      <c r="R68" t="s">
        <v>43</v>
      </c>
      <c r="S68" t="s">
        <v>33</v>
      </c>
      <c r="T68">
        <v>35.358699999999999</v>
      </c>
    </row>
    <row r="69" spans="1:20" x14ac:dyDescent="0.25">
      <c r="A69" t="s">
        <v>322</v>
      </c>
      <c r="B69" t="s">
        <v>323</v>
      </c>
      <c r="C69" t="s">
        <v>83</v>
      </c>
      <c r="D69" t="s">
        <v>119</v>
      </c>
      <c r="E69" t="s">
        <v>202</v>
      </c>
      <c r="F69" t="s">
        <v>91</v>
      </c>
      <c r="G69" t="s">
        <v>324</v>
      </c>
      <c r="H69" t="s">
        <v>98</v>
      </c>
      <c r="I69" t="s">
        <v>28</v>
      </c>
      <c r="J69" t="s">
        <v>69</v>
      </c>
      <c r="K69">
        <v>78</v>
      </c>
      <c r="L69">
        <v>29498</v>
      </c>
      <c r="M69" t="s">
        <v>30</v>
      </c>
      <c r="N69">
        <v>2070759.6</v>
      </c>
      <c r="O69">
        <v>1274140.1100000001</v>
      </c>
      <c r="P69">
        <v>796619.49</v>
      </c>
      <c r="Q69" t="s">
        <v>86</v>
      </c>
      <c r="R69" t="s">
        <v>32</v>
      </c>
      <c r="S69" t="s">
        <v>44</v>
      </c>
      <c r="T69">
        <v>52.6693</v>
      </c>
    </row>
    <row r="70" spans="1:20" x14ac:dyDescent="0.25">
      <c r="A70" t="s">
        <v>325</v>
      </c>
      <c r="B70" t="s">
        <v>326</v>
      </c>
      <c r="C70" t="s">
        <v>22</v>
      </c>
      <c r="D70" t="s">
        <v>89</v>
      </c>
      <c r="E70" t="s">
        <v>101</v>
      </c>
      <c r="F70" t="s">
        <v>25</v>
      </c>
      <c r="G70" t="s">
        <v>223</v>
      </c>
      <c r="H70" t="s">
        <v>98</v>
      </c>
      <c r="I70" t="s">
        <v>28</v>
      </c>
      <c r="J70" t="s">
        <v>327</v>
      </c>
      <c r="K70">
        <v>27</v>
      </c>
      <c r="L70">
        <v>26875</v>
      </c>
      <c r="M70" t="s">
        <v>80</v>
      </c>
      <c r="N70">
        <v>616781.25</v>
      </c>
      <c r="O70">
        <v>482369.78</v>
      </c>
      <c r="P70">
        <v>134411.47</v>
      </c>
      <c r="Q70" t="s">
        <v>62</v>
      </c>
      <c r="R70" t="s">
        <v>32</v>
      </c>
      <c r="S70" t="s">
        <v>44</v>
      </c>
      <c r="T70">
        <v>1.0115000000000001</v>
      </c>
    </row>
    <row r="71" spans="1:20" x14ac:dyDescent="0.25">
      <c r="A71" t="s">
        <v>328</v>
      </c>
      <c r="B71" t="s">
        <v>329</v>
      </c>
      <c r="C71" t="s">
        <v>22</v>
      </c>
      <c r="D71" t="s">
        <v>113</v>
      </c>
      <c r="E71" t="s">
        <v>163</v>
      </c>
      <c r="F71" t="s">
        <v>49</v>
      </c>
      <c r="G71" t="s">
        <v>330</v>
      </c>
      <c r="H71" t="s">
        <v>51</v>
      </c>
      <c r="I71" t="s">
        <v>28</v>
      </c>
      <c r="J71" t="s">
        <v>259</v>
      </c>
      <c r="K71">
        <v>96</v>
      </c>
      <c r="L71">
        <v>47601</v>
      </c>
      <c r="M71" t="s">
        <v>80</v>
      </c>
      <c r="N71">
        <v>3884241.6</v>
      </c>
      <c r="O71">
        <v>3338522.08</v>
      </c>
      <c r="P71">
        <v>545719.52</v>
      </c>
      <c r="Q71" t="s">
        <v>31</v>
      </c>
      <c r="R71" t="s">
        <v>54</v>
      </c>
      <c r="S71" t="s">
        <v>33</v>
      </c>
      <c r="T71">
        <v>19.478400000000001</v>
      </c>
    </row>
    <row r="72" spans="1:20" x14ac:dyDescent="0.25">
      <c r="A72" t="s">
        <v>331</v>
      </c>
      <c r="B72" t="s">
        <v>332</v>
      </c>
      <c r="C72" t="s">
        <v>57</v>
      </c>
      <c r="D72" t="s">
        <v>113</v>
      </c>
      <c r="E72" t="s">
        <v>110</v>
      </c>
      <c r="F72" t="s">
        <v>39</v>
      </c>
      <c r="G72" t="s">
        <v>333</v>
      </c>
      <c r="H72" t="s">
        <v>67</v>
      </c>
      <c r="I72" t="s">
        <v>77</v>
      </c>
      <c r="J72" t="s">
        <v>334</v>
      </c>
      <c r="K72">
        <v>66</v>
      </c>
      <c r="L72">
        <v>28271</v>
      </c>
      <c r="M72" t="s">
        <v>71</v>
      </c>
      <c r="N72">
        <v>1865886</v>
      </c>
      <c r="O72">
        <v>1318775.3</v>
      </c>
      <c r="P72">
        <v>547110.69999999995</v>
      </c>
      <c r="Q72" t="s">
        <v>86</v>
      </c>
      <c r="R72" t="s">
        <v>43</v>
      </c>
      <c r="S72" t="s">
        <v>44</v>
      </c>
      <c r="T72">
        <v>20.657800000000002</v>
      </c>
    </row>
    <row r="73" spans="1:20" x14ac:dyDescent="0.25">
      <c r="A73" t="s">
        <v>335</v>
      </c>
      <c r="B73" t="s">
        <v>336</v>
      </c>
      <c r="C73" t="s">
        <v>36</v>
      </c>
      <c r="D73" t="s">
        <v>96</v>
      </c>
      <c r="E73" t="s">
        <v>130</v>
      </c>
      <c r="F73" t="s">
        <v>138</v>
      </c>
      <c r="G73" t="s">
        <v>337</v>
      </c>
      <c r="H73" t="s">
        <v>51</v>
      </c>
      <c r="I73" t="s">
        <v>77</v>
      </c>
      <c r="J73" t="s">
        <v>338</v>
      </c>
      <c r="K73">
        <v>48</v>
      </c>
      <c r="L73">
        <v>44591</v>
      </c>
      <c r="M73" t="s">
        <v>80</v>
      </c>
      <c r="N73">
        <v>1819312.8</v>
      </c>
      <c r="O73">
        <v>1371818.55</v>
      </c>
      <c r="P73">
        <v>447494.25</v>
      </c>
      <c r="Q73" t="s">
        <v>86</v>
      </c>
      <c r="R73" t="s">
        <v>43</v>
      </c>
      <c r="S73" t="s">
        <v>44</v>
      </c>
      <c r="T73">
        <v>1.1237999999999999</v>
      </c>
    </row>
    <row r="74" spans="1:20" x14ac:dyDescent="0.25">
      <c r="A74" t="s">
        <v>339</v>
      </c>
      <c r="B74" t="s">
        <v>340</v>
      </c>
      <c r="C74" t="s">
        <v>118</v>
      </c>
      <c r="D74" t="s">
        <v>169</v>
      </c>
      <c r="E74" t="s">
        <v>75</v>
      </c>
      <c r="F74" t="s">
        <v>91</v>
      </c>
      <c r="G74" t="s">
        <v>40</v>
      </c>
      <c r="H74" t="s">
        <v>98</v>
      </c>
      <c r="I74" t="s">
        <v>28</v>
      </c>
      <c r="J74" t="s">
        <v>145</v>
      </c>
      <c r="K74">
        <v>54</v>
      </c>
      <c r="L74">
        <v>12255</v>
      </c>
      <c r="M74" t="s">
        <v>71</v>
      </c>
      <c r="N74">
        <v>661770</v>
      </c>
      <c r="O74">
        <v>442088.1</v>
      </c>
      <c r="P74">
        <v>219681.9</v>
      </c>
      <c r="Q74" t="s">
        <v>86</v>
      </c>
      <c r="R74" t="s">
        <v>43</v>
      </c>
      <c r="S74" t="s">
        <v>33</v>
      </c>
      <c r="T74">
        <v>7.8399000000000001</v>
      </c>
    </row>
    <row r="75" spans="1:20" x14ac:dyDescent="0.25">
      <c r="A75" t="s">
        <v>341</v>
      </c>
      <c r="B75" t="s">
        <v>342</v>
      </c>
      <c r="C75" t="s">
        <v>36</v>
      </c>
      <c r="D75" t="s">
        <v>65</v>
      </c>
      <c r="E75" t="s">
        <v>75</v>
      </c>
      <c r="F75" t="s">
        <v>91</v>
      </c>
      <c r="G75" t="s">
        <v>293</v>
      </c>
      <c r="H75" t="s">
        <v>51</v>
      </c>
      <c r="I75" t="s">
        <v>28</v>
      </c>
      <c r="J75" t="s">
        <v>115</v>
      </c>
      <c r="K75">
        <v>60</v>
      </c>
      <c r="L75">
        <v>40534</v>
      </c>
      <c r="M75" t="s">
        <v>30</v>
      </c>
      <c r="N75">
        <v>2188836</v>
      </c>
      <c r="O75">
        <v>1619567.59</v>
      </c>
      <c r="P75">
        <v>569268.41</v>
      </c>
      <c r="Q75" t="s">
        <v>86</v>
      </c>
      <c r="R75" t="s">
        <v>43</v>
      </c>
      <c r="S75" t="s">
        <v>44</v>
      </c>
      <c r="T75">
        <v>24.148199999999999</v>
      </c>
    </row>
    <row r="76" spans="1:20" x14ac:dyDescent="0.25">
      <c r="A76" t="s">
        <v>343</v>
      </c>
      <c r="B76" t="s">
        <v>344</v>
      </c>
      <c r="C76" t="s">
        <v>22</v>
      </c>
      <c r="D76" t="s">
        <v>74</v>
      </c>
      <c r="E76" t="s">
        <v>120</v>
      </c>
      <c r="F76" t="s">
        <v>49</v>
      </c>
      <c r="G76" t="s">
        <v>97</v>
      </c>
      <c r="H76" t="s">
        <v>27</v>
      </c>
      <c r="I76" t="s">
        <v>41</v>
      </c>
      <c r="J76" t="s">
        <v>186</v>
      </c>
      <c r="K76">
        <v>89</v>
      </c>
      <c r="L76">
        <v>12873</v>
      </c>
      <c r="M76" t="s">
        <v>80</v>
      </c>
      <c r="N76">
        <v>973842.45</v>
      </c>
      <c r="O76">
        <v>638269.07999999996</v>
      </c>
      <c r="P76">
        <v>335573.37</v>
      </c>
      <c r="Q76" t="s">
        <v>62</v>
      </c>
      <c r="R76" t="s">
        <v>54</v>
      </c>
      <c r="S76" t="s">
        <v>44</v>
      </c>
      <c r="T76">
        <v>28.620799999999999</v>
      </c>
    </row>
    <row r="77" spans="1:20" x14ac:dyDescent="0.25">
      <c r="A77" t="s">
        <v>345</v>
      </c>
      <c r="B77" t="s">
        <v>346</v>
      </c>
      <c r="C77" t="s">
        <v>36</v>
      </c>
      <c r="D77" t="s">
        <v>169</v>
      </c>
      <c r="E77" t="s">
        <v>178</v>
      </c>
      <c r="F77" t="s">
        <v>49</v>
      </c>
      <c r="G77" t="s">
        <v>121</v>
      </c>
      <c r="H77" t="s">
        <v>27</v>
      </c>
      <c r="I77" t="s">
        <v>68</v>
      </c>
      <c r="J77" t="s">
        <v>347</v>
      </c>
      <c r="K77">
        <v>36</v>
      </c>
      <c r="L77" t="s">
        <v>348</v>
      </c>
      <c r="M77" t="s">
        <v>80</v>
      </c>
      <c r="N77">
        <v>1077487.2</v>
      </c>
      <c r="O77">
        <v>589037.61</v>
      </c>
      <c r="P77">
        <v>488449.59</v>
      </c>
      <c r="Q77" t="s">
        <v>62</v>
      </c>
      <c r="R77" t="s">
        <v>54</v>
      </c>
      <c r="S77" t="s">
        <v>33</v>
      </c>
      <c r="T77">
        <v>35.9589</v>
      </c>
    </row>
    <row r="78" spans="1:20" x14ac:dyDescent="0.25">
      <c r="A78" t="s">
        <v>349</v>
      </c>
      <c r="B78" t="s">
        <v>350</v>
      </c>
      <c r="C78" t="s">
        <v>118</v>
      </c>
      <c r="D78" t="s">
        <v>65</v>
      </c>
      <c r="E78" t="s">
        <v>202</v>
      </c>
      <c r="F78" t="s">
        <v>49</v>
      </c>
      <c r="G78" t="s">
        <v>282</v>
      </c>
      <c r="H78" t="s">
        <v>51</v>
      </c>
      <c r="I78" t="s">
        <v>77</v>
      </c>
      <c r="J78" t="s">
        <v>224</v>
      </c>
      <c r="K78">
        <v>39</v>
      </c>
      <c r="L78">
        <v>32197</v>
      </c>
      <c r="M78" t="s">
        <v>30</v>
      </c>
      <c r="N78">
        <v>1130114.7</v>
      </c>
      <c r="O78">
        <v>568281.97</v>
      </c>
      <c r="P78">
        <v>561832.73</v>
      </c>
      <c r="Q78" t="s">
        <v>62</v>
      </c>
      <c r="R78" t="s">
        <v>43</v>
      </c>
      <c r="S78" t="s">
        <v>44</v>
      </c>
      <c r="T78">
        <v>14.646699999999999</v>
      </c>
    </row>
    <row r="79" spans="1:20" x14ac:dyDescent="0.25">
      <c r="A79" t="s">
        <v>351</v>
      </c>
      <c r="B79" t="s">
        <v>352</v>
      </c>
      <c r="C79" t="s">
        <v>83</v>
      </c>
      <c r="D79" t="s">
        <v>37</v>
      </c>
      <c r="E79" t="s">
        <v>24</v>
      </c>
      <c r="F79" t="s">
        <v>91</v>
      </c>
      <c r="G79" t="s">
        <v>275</v>
      </c>
      <c r="H79" t="s">
        <v>67</v>
      </c>
      <c r="I79" t="s">
        <v>68</v>
      </c>
      <c r="J79" t="s">
        <v>93</v>
      </c>
      <c r="K79">
        <v>56</v>
      </c>
      <c r="L79">
        <v>18606</v>
      </c>
      <c r="M79" t="s">
        <v>71</v>
      </c>
      <c r="N79">
        <v>1041936</v>
      </c>
      <c r="O79">
        <v>926040.48</v>
      </c>
      <c r="P79">
        <v>115895.52</v>
      </c>
      <c r="Q79" t="s">
        <v>31</v>
      </c>
      <c r="R79" t="s">
        <v>32</v>
      </c>
      <c r="S79" t="s">
        <v>33</v>
      </c>
      <c r="T79">
        <v>23.503599999999999</v>
      </c>
    </row>
    <row r="80" spans="1:20" x14ac:dyDescent="0.25">
      <c r="A80" t="s">
        <v>353</v>
      </c>
      <c r="B80" t="s">
        <v>354</v>
      </c>
      <c r="C80" t="s">
        <v>22</v>
      </c>
      <c r="D80" t="s">
        <v>23</v>
      </c>
      <c r="E80" t="s">
        <v>178</v>
      </c>
      <c r="F80" t="s">
        <v>25</v>
      </c>
      <c r="G80" t="s">
        <v>97</v>
      </c>
      <c r="H80" t="s">
        <v>98</v>
      </c>
      <c r="I80" t="s">
        <v>52</v>
      </c>
      <c r="J80" t="s">
        <v>29</v>
      </c>
      <c r="K80">
        <v>87</v>
      </c>
      <c r="L80" t="s">
        <v>355</v>
      </c>
      <c r="M80" t="s">
        <v>105</v>
      </c>
      <c r="N80">
        <v>3797932.8</v>
      </c>
      <c r="O80">
        <v>3259834.17</v>
      </c>
      <c r="P80">
        <v>538098.63</v>
      </c>
      <c r="Q80" t="s">
        <v>31</v>
      </c>
      <c r="R80" t="s">
        <v>32</v>
      </c>
      <c r="S80" t="s">
        <v>44</v>
      </c>
      <c r="T80">
        <v>4.43</v>
      </c>
    </row>
    <row r="81" spans="1:20" x14ac:dyDescent="0.25">
      <c r="A81" t="s">
        <v>356</v>
      </c>
      <c r="B81" t="s">
        <v>357</v>
      </c>
      <c r="C81" t="s">
        <v>118</v>
      </c>
      <c r="D81" t="s">
        <v>109</v>
      </c>
      <c r="E81" t="s">
        <v>190</v>
      </c>
      <c r="F81" t="s">
        <v>39</v>
      </c>
      <c r="G81" t="s">
        <v>114</v>
      </c>
      <c r="H81" t="s">
        <v>51</v>
      </c>
      <c r="I81" t="s">
        <v>41</v>
      </c>
      <c r="J81" t="s">
        <v>216</v>
      </c>
      <c r="K81">
        <v>70</v>
      </c>
      <c r="L81">
        <v>43348</v>
      </c>
      <c r="M81" t="s">
        <v>105</v>
      </c>
      <c r="N81">
        <v>2882642</v>
      </c>
      <c r="O81">
        <v>2249686.7999999998</v>
      </c>
      <c r="P81">
        <v>632955.19999999995</v>
      </c>
      <c r="Q81" t="s">
        <v>31</v>
      </c>
      <c r="R81" t="s">
        <v>32</v>
      </c>
      <c r="S81" t="s">
        <v>106</v>
      </c>
      <c r="T81">
        <v>54.741799999999998</v>
      </c>
    </row>
    <row r="82" spans="1:20" x14ac:dyDescent="0.25">
      <c r="A82" t="s">
        <v>358</v>
      </c>
      <c r="B82" t="s">
        <v>359</v>
      </c>
      <c r="C82" t="s">
        <v>36</v>
      </c>
      <c r="D82" t="s">
        <v>74</v>
      </c>
      <c r="E82" t="s">
        <v>24</v>
      </c>
      <c r="F82" t="s">
        <v>25</v>
      </c>
      <c r="G82" t="s">
        <v>174</v>
      </c>
      <c r="H82" t="s">
        <v>98</v>
      </c>
      <c r="I82" t="s">
        <v>68</v>
      </c>
      <c r="J82" t="s">
        <v>220</v>
      </c>
      <c r="K82">
        <v>81</v>
      </c>
      <c r="L82">
        <v>48539</v>
      </c>
      <c r="M82" t="s">
        <v>71</v>
      </c>
      <c r="N82">
        <v>3931659</v>
      </c>
      <c r="O82">
        <v>3003459.83</v>
      </c>
      <c r="P82">
        <v>928199.17</v>
      </c>
      <c r="Q82" t="s">
        <v>31</v>
      </c>
      <c r="R82" t="s">
        <v>32</v>
      </c>
      <c r="S82" t="s">
        <v>44</v>
      </c>
      <c r="T82">
        <v>44.631100000000004</v>
      </c>
    </row>
    <row r="83" spans="1:20" x14ac:dyDescent="0.25">
      <c r="A83" t="s">
        <v>360</v>
      </c>
      <c r="B83" t="s">
        <v>361</v>
      </c>
      <c r="C83" t="s">
        <v>57</v>
      </c>
      <c r="D83" t="s">
        <v>189</v>
      </c>
      <c r="E83" t="s">
        <v>38</v>
      </c>
      <c r="F83" t="s">
        <v>60</v>
      </c>
      <c r="G83" t="s">
        <v>362</v>
      </c>
      <c r="H83" t="s">
        <v>27</v>
      </c>
      <c r="I83" t="s">
        <v>68</v>
      </c>
      <c r="J83" t="s">
        <v>276</v>
      </c>
      <c r="K83">
        <v>75</v>
      </c>
      <c r="L83">
        <v>8175</v>
      </c>
      <c r="M83" t="s">
        <v>105</v>
      </c>
      <c r="N83">
        <v>582468.75</v>
      </c>
      <c r="O83">
        <v>523011.6</v>
      </c>
      <c r="P83">
        <v>59457.15</v>
      </c>
      <c r="Q83" t="s">
        <v>62</v>
      </c>
      <c r="R83" t="s">
        <v>43</v>
      </c>
      <c r="S83" t="s">
        <v>33</v>
      </c>
      <c r="T83">
        <v>42.825200000000002</v>
      </c>
    </row>
    <row r="84" spans="1:20" x14ac:dyDescent="0.25">
      <c r="A84" t="s">
        <v>363</v>
      </c>
      <c r="B84" t="s">
        <v>364</v>
      </c>
      <c r="C84" t="s">
        <v>36</v>
      </c>
      <c r="D84" t="s">
        <v>169</v>
      </c>
      <c r="E84" t="s">
        <v>178</v>
      </c>
      <c r="F84" t="s">
        <v>49</v>
      </c>
      <c r="G84" t="s">
        <v>365</v>
      </c>
      <c r="H84" t="s">
        <v>98</v>
      </c>
      <c r="I84" t="s">
        <v>68</v>
      </c>
      <c r="J84" t="s">
        <v>127</v>
      </c>
      <c r="K84">
        <v>76</v>
      </c>
      <c r="L84">
        <v>38246</v>
      </c>
      <c r="M84" t="s">
        <v>80</v>
      </c>
      <c r="N84">
        <v>2470691.6</v>
      </c>
      <c r="O84">
        <v>1378331.43</v>
      </c>
      <c r="P84">
        <v>1092360.17</v>
      </c>
      <c r="Q84" t="s">
        <v>62</v>
      </c>
      <c r="R84" t="s">
        <v>54</v>
      </c>
      <c r="S84" t="s">
        <v>33</v>
      </c>
      <c r="T84">
        <v>22.726500000000001</v>
      </c>
    </row>
    <row r="85" spans="1:20" x14ac:dyDescent="0.25">
      <c r="A85" t="s">
        <v>366</v>
      </c>
      <c r="B85" t="s">
        <v>367</v>
      </c>
      <c r="C85" t="s">
        <v>36</v>
      </c>
      <c r="D85" t="s">
        <v>311</v>
      </c>
      <c r="E85" t="s">
        <v>190</v>
      </c>
      <c r="F85" t="s">
        <v>91</v>
      </c>
      <c r="G85" t="s">
        <v>121</v>
      </c>
      <c r="H85" t="s">
        <v>98</v>
      </c>
      <c r="I85" t="s">
        <v>28</v>
      </c>
      <c r="J85" t="s">
        <v>279</v>
      </c>
      <c r="K85">
        <v>77</v>
      </c>
      <c r="L85">
        <v>44724</v>
      </c>
      <c r="M85" t="s">
        <v>105</v>
      </c>
      <c r="N85">
        <v>3271560.6</v>
      </c>
      <c r="O85">
        <v>1752809.06</v>
      </c>
      <c r="P85">
        <v>1518751.54</v>
      </c>
      <c r="Q85" t="s">
        <v>62</v>
      </c>
      <c r="R85" t="s">
        <v>54</v>
      </c>
      <c r="S85" t="s">
        <v>33</v>
      </c>
      <c r="T85">
        <v>22.0246</v>
      </c>
    </row>
    <row r="86" spans="1:20" x14ac:dyDescent="0.25">
      <c r="A86" t="s">
        <v>368</v>
      </c>
      <c r="B86" t="s">
        <v>369</v>
      </c>
      <c r="C86" t="s">
        <v>36</v>
      </c>
      <c r="D86" t="s">
        <v>189</v>
      </c>
      <c r="E86" t="s">
        <v>59</v>
      </c>
      <c r="F86" t="s">
        <v>39</v>
      </c>
      <c r="G86" t="s">
        <v>370</v>
      </c>
      <c r="H86" t="s">
        <v>27</v>
      </c>
      <c r="I86" t="s">
        <v>52</v>
      </c>
      <c r="J86" t="s">
        <v>171</v>
      </c>
      <c r="K86">
        <v>87</v>
      </c>
      <c r="L86">
        <v>31735</v>
      </c>
      <c r="M86" t="s">
        <v>105</v>
      </c>
      <c r="N86">
        <v>2622897.75</v>
      </c>
      <c r="O86">
        <v>1637559.83</v>
      </c>
      <c r="P86">
        <v>985337.92</v>
      </c>
      <c r="Q86" t="s">
        <v>62</v>
      </c>
      <c r="R86" t="s">
        <v>43</v>
      </c>
      <c r="S86" t="s">
        <v>106</v>
      </c>
      <c r="T86">
        <v>40.986400000000003</v>
      </c>
    </row>
    <row r="87" spans="1:20" x14ac:dyDescent="0.25">
      <c r="A87" t="s">
        <v>371</v>
      </c>
      <c r="B87" t="s">
        <v>372</v>
      </c>
      <c r="C87" t="s">
        <v>83</v>
      </c>
      <c r="D87" t="s">
        <v>311</v>
      </c>
      <c r="E87" t="s">
        <v>178</v>
      </c>
      <c r="F87" t="s">
        <v>25</v>
      </c>
      <c r="G87" t="s">
        <v>373</v>
      </c>
      <c r="H87" t="s">
        <v>51</v>
      </c>
      <c r="I87" t="s">
        <v>52</v>
      </c>
      <c r="J87" t="s">
        <v>249</v>
      </c>
      <c r="K87">
        <v>24</v>
      </c>
      <c r="L87">
        <v>10077</v>
      </c>
      <c r="M87" t="s">
        <v>71</v>
      </c>
      <c r="N87">
        <v>241848</v>
      </c>
      <c r="O87">
        <v>161379.92000000001</v>
      </c>
      <c r="P87">
        <v>80468.08</v>
      </c>
      <c r="Q87" t="s">
        <v>62</v>
      </c>
      <c r="R87" t="s">
        <v>43</v>
      </c>
      <c r="S87" t="s">
        <v>33</v>
      </c>
      <c r="T87">
        <v>32.151800000000001</v>
      </c>
    </row>
    <row r="88" spans="1:20" x14ac:dyDescent="0.25">
      <c r="A88" t="s">
        <v>374</v>
      </c>
      <c r="B88" t="s">
        <v>375</v>
      </c>
      <c r="C88" t="s">
        <v>57</v>
      </c>
      <c r="D88" t="s">
        <v>47</v>
      </c>
      <c r="E88" t="s">
        <v>376</v>
      </c>
      <c r="F88" t="s">
        <v>60</v>
      </c>
      <c r="G88" t="s">
        <v>203</v>
      </c>
      <c r="H88" t="s">
        <v>27</v>
      </c>
      <c r="I88" t="s">
        <v>41</v>
      </c>
      <c r="J88" t="s">
        <v>377</v>
      </c>
      <c r="K88">
        <v>50</v>
      </c>
      <c r="L88">
        <v>42095</v>
      </c>
      <c r="M88" t="s">
        <v>30</v>
      </c>
      <c r="N88">
        <v>1894275</v>
      </c>
      <c r="O88">
        <v>1348412.3</v>
      </c>
      <c r="P88">
        <v>545862.69999999995</v>
      </c>
      <c r="Q88" t="s">
        <v>31</v>
      </c>
      <c r="R88" t="s">
        <v>32</v>
      </c>
      <c r="S88" t="s">
        <v>33</v>
      </c>
      <c r="T88">
        <v>14.447699999999999</v>
      </c>
    </row>
    <row r="89" spans="1:20" x14ac:dyDescent="0.25">
      <c r="A89" t="s">
        <v>378</v>
      </c>
      <c r="B89" t="s">
        <v>379</v>
      </c>
      <c r="C89" t="s">
        <v>57</v>
      </c>
      <c r="D89" t="s">
        <v>156</v>
      </c>
      <c r="E89" t="s">
        <v>380</v>
      </c>
      <c r="F89" t="s">
        <v>60</v>
      </c>
      <c r="G89" t="s">
        <v>282</v>
      </c>
      <c r="H89" t="s">
        <v>51</v>
      </c>
      <c r="I89" t="s">
        <v>68</v>
      </c>
      <c r="J89" t="s">
        <v>249</v>
      </c>
      <c r="K89">
        <v>43</v>
      </c>
      <c r="L89">
        <v>3320</v>
      </c>
      <c r="M89" t="s">
        <v>105</v>
      </c>
      <c r="N89">
        <v>135622</v>
      </c>
      <c r="O89">
        <v>75795.97</v>
      </c>
      <c r="P89">
        <v>59826.03</v>
      </c>
      <c r="Q89" t="s">
        <v>31</v>
      </c>
      <c r="R89" t="s">
        <v>54</v>
      </c>
      <c r="S89" t="s">
        <v>33</v>
      </c>
      <c r="T89">
        <v>1.6547000000000001</v>
      </c>
    </row>
    <row r="90" spans="1:20" x14ac:dyDescent="0.25">
      <c r="A90" t="s">
        <v>381</v>
      </c>
      <c r="B90" t="s">
        <v>382</v>
      </c>
      <c r="C90" t="s">
        <v>22</v>
      </c>
      <c r="D90" t="s">
        <v>109</v>
      </c>
      <c r="E90" t="s">
        <v>202</v>
      </c>
      <c r="F90" t="s">
        <v>49</v>
      </c>
      <c r="G90" t="s">
        <v>306</v>
      </c>
      <c r="H90" t="s">
        <v>27</v>
      </c>
      <c r="I90" t="s">
        <v>28</v>
      </c>
      <c r="J90" t="s">
        <v>69</v>
      </c>
      <c r="K90">
        <v>70</v>
      </c>
      <c r="L90">
        <v>1645</v>
      </c>
      <c r="M90" t="s">
        <v>80</v>
      </c>
      <c r="N90">
        <v>97877.5</v>
      </c>
      <c r="O90">
        <v>86651.45</v>
      </c>
      <c r="P90">
        <v>11226.05</v>
      </c>
      <c r="Q90" t="s">
        <v>86</v>
      </c>
      <c r="R90" t="s">
        <v>32</v>
      </c>
      <c r="S90" t="s">
        <v>106</v>
      </c>
      <c r="T90">
        <v>27.9604</v>
      </c>
    </row>
    <row r="91" spans="1:20" x14ac:dyDescent="0.25">
      <c r="A91" t="s">
        <v>383</v>
      </c>
      <c r="B91" t="s">
        <v>384</v>
      </c>
      <c r="C91" t="s">
        <v>118</v>
      </c>
      <c r="D91" t="s">
        <v>189</v>
      </c>
      <c r="E91" t="s">
        <v>190</v>
      </c>
      <c r="F91" t="s">
        <v>60</v>
      </c>
      <c r="G91" t="s">
        <v>282</v>
      </c>
      <c r="H91" t="s">
        <v>51</v>
      </c>
      <c r="I91" t="s">
        <v>28</v>
      </c>
      <c r="J91" t="s">
        <v>140</v>
      </c>
      <c r="K91">
        <v>26</v>
      </c>
      <c r="L91">
        <v>16648</v>
      </c>
      <c r="M91" t="s">
        <v>71</v>
      </c>
      <c r="N91">
        <v>432848</v>
      </c>
      <c r="O91">
        <v>217036.42</v>
      </c>
      <c r="P91">
        <v>215811.58</v>
      </c>
      <c r="Q91" t="s">
        <v>62</v>
      </c>
      <c r="R91" t="s">
        <v>54</v>
      </c>
      <c r="S91" t="s">
        <v>33</v>
      </c>
      <c r="T91">
        <v>58.008299999999998</v>
      </c>
    </row>
    <row r="92" spans="1:20" x14ac:dyDescent="0.25">
      <c r="A92" t="s">
        <v>385</v>
      </c>
      <c r="B92" t="s">
        <v>386</v>
      </c>
      <c r="C92" t="s">
        <v>83</v>
      </c>
      <c r="D92" t="s">
        <v>227</v>
      </c>
      <c r="E92" t="s">
        <v>120</v>
      </c>
      <c r="F92" t="s">
        <v>49</v>
      </c>
      <c r="G92" t="s">
        <v>387</v>
      </c>
      <c r="H92" t="s">
        <v>98</v>
      </c>
      <c r="I92" t="s">
        <v>41</v>
      </c>
      <c r="J92" t="s">
        <v>165</v>
      </c>
      <c r="K92">
        <v>18</v>
      </c>
      <c r="L92" t="s">
        <v>388</v>
      </c>
      <c r="M92" t="s">
        <v>71</v>
      </c>
      <c r="N92">
        <v>101430</v>
      </c>
      <c r="O92">
        <v>67738.86</v>
      </c>
      <c r="P92">
        <v>33691.14</v>
      </c>
      <c r="Q92" t="s">
        <v>31</v>
      </c>
      <c r="R92" t="s">
        <v>54</v>
      </c>
      <c r="S92" t="s">
        <v>44</v>
      </c>
      <c r="T92">
        <v>22.45</v>
      </c>
    </row>
    <row r="93" spans="1:20" x14ac:dyDescent="0.25">
      <c r="A93" t="s">
        <v>389</v>
      </c>
      <c r="B93" t="s">
        <v>390</v>
      </c>
      <c r="C93" t="s">
        <v>36</v>
      </c>
      <c r="D93" t="s">
        <v>109</v>
      </c>
      <c r="E93" t="s">
        <v>202</v>
      </c>
      <c r="F93" t="s">
        <v>91</v>
      </c>
      <c r="G93" t="s">
        <v>84</v>
      </c>
      <c r="H93" t="s">
        <v>67</v>
      </c>
      <c r="I93" t="s">
        <v>52</v>
      </c>
      <c r="J93" t="s">
        <v>391</v>
      </c>
      <c r="K93">
        <v>76</v>
      </c>
      <c r="L93">
        <v>43471</v>
      </c>
      <c r="M93" t="s">
        <v>71</v>
      </c>
      <c r="N93">
        <v>3303796</v>
      </c>
      <c r="O93">
        <v>2368677.0099999998</v>
      </c>
      <c r="P93">
        <v>935118.99</v>
      </c>
      <c r="Q93" t="s">
        <v>31</v>
      </c>
      <c r="R93" t="s">
        <v>43</v>
      </c>
      <c r="S93" t="s">
        <v>33</v>
      </c>
      <c r="T93">
        <v>44.725200000000001</v>
      </c>
    </row>
    <row r="94" spans="1:20" x14ac:dyDescent="0.25">
      <c r="A94" t="s">
        <v>392</v>
      </c>
      <c r="B94" t="s">
        <v>393</v>
      </c>
      <c r="C94" t="s">
        <v>22</v>
      </c>
      <c r="D94" t="s">
        <v>65</v>
      </c>
      <c r="E94" t="s">
        <v>59</v>
      </c>
      <c r="F94" t="s">
        <v>60</v>
      </c>
      <c r="G94" t="s">
        <v>288</v>
      </c>
      <c r="H94" t="s">
        <v>51</v>
      </c>
      <c r="I94" t="s">
        <v>28</v>
      </c>
      <c r="J94" t="s">
        <v>338</v>
      </c>
      <c r="K94">
        <v>16</v>
      </c>
      <c r="L94">
        <v>47178</v>
      </c>
      <c r="M94" t="s">
        <v>105</v>
      </c>
      <c r="N94">
        <v>717105.6</v>
      </c>
      <c r="O94">
        <v>549515.05000000005</v>
      </c>
      <c r="P94">
        <v>167590.54999999999</v>
      </c>
      <c r="Q94" t="s">
        <v>86</v>
      </c>
      <c r="R94" t="s">
        <v>54</v>
      </c>
      <c r="S94" t="s">
        <v>106</v>
      </c>
      <c r="T94">
        <v>23.759599999999999</v>
      </c>
    </row>
    <row r="95" spans="1:20" x14ac:dyDescent="0.25">
      <c r="A95" t="s">
        <v>394</v>
      </c>
      <c r="B95" t="s">
        <v>395</v>
      </c>
      <c r="C95" t="s">
        <v>22</v>
      </c>
      <c r="D95" t="s">
        <v>156</v>
      </c>
      <c r="E95" t="s">
        <v>101</v>
      </c>
      <c r="F95" t="s">
        <v>39</v>
      </c>
      <c r="G95" t="s">
        <v>234</v>
      </c>
      <c r="H95" t="s">
        <v>98</v>
      </c>
      <c r="I95" t="s">
        <v>68</v>
      </c>
      <c r="J95" t="s">
        <v>334</v>
      </c>
      <c r="K95">
        <v>48</v>
      </c>
      <c r="L95">
        <v>39602</v>
      </c>
      <c r="M95" t="s">
        <v>105</v>
      </c>
      <c r="N95">
        <v>1805851.2</v>
      </c>
      <c r="O95">
        <v>1442198.71</v>
      </c>
      <c r="P95">
        <v>363652.49</v>
      </c>
      <c r="Q95" t="s">
        <v>31</v>
      </c>
      <c r="R95" t="s">
        <v>54</v>
      </c>
      <c r="S95" t="s">
        <v>33</v>
      </c>
      <c r="T95">
        <v>7.4280999999999997</v>
      </c>
    </row>
    <row r="96" spans="1:20" x14ac:dyDescent="0.25">
      <c r="A96" t="s">
        <v>396</v>
      </c>
      <c r="B96" t="s">
        <v>397</v>
      </c>
      <c r="C96" t="s">
        <v>22</v>
      </c>
      <c r="D96" t="s">
        <v>74</v>
      </c>
      <c r="E96" t="s">
        <v>190</v>
      </c>
      <c r="F96" t="s">
        <v>39</v>
      </c>
      <c r="G96" t="s">
        <v>159</v>
      </c>
      <c r="H96" t="s">
        <v>67</v>
      </c>
      <c r="I96" t="s">
        <v>41</v>
      </c>
      <c r="J96" t="s">
        <v>272</v>
      </c>
      <c r="K96">
        <v>15</v>
      </c>
      <c r="L96">
        <v>23532</v>
      </c>
      <c r="M96" t="s">
        <v>30</v>
      </c>
      <c r="N96">
        <v>317682</v>
      </c>
      <c r="O96">
        <v>220731.32</v>
      </c>
      <c r="P96">
        <v>96950.68</v>
      </c>
      <c r="Q96" t="s">
        <v>31</v>
      </c>
      <c r="R96" t="s">
        <v>32</v>
      </c>
      <c r="S96" t="s">
        <v>44</v>
      </c>
      <c r="T96">
        <v>27.099499999999999</v>
      </c>
    </row>
    <row r="97" spans="1:20" x14ac:dyDescent="0.25">
      <c r="A97" t="s">
        <v>398</v>
      </c>
      <c r="B97" t="s">
        <v>399</v>
      </c>
      <c r="C97" t="s">
        <v>118</v>
      </c>
      <c r="D97" t="s">
        <v>47</v>
      </c>
      <c r="E97" t="s">
        <v>125</v>
      </c>
      <c r="F97" t="s">
        <v>138</v>
      </c>
      <c r="G97" t="s">
        <v>400</v>
      </c>
      <c r="H97" t="s">
        <v>27</v>
      </c>
      <c r="I97" t="s">
        <v>52</v>
      </c>
      <c r="J97" t="s">
        <v>254</v>
      </c>
      <c r="K97">
        <v>44</v>
      </c>
      <c r="L97">
        <v>16609</v>
      </c>
      <c r="M97" t="s">
        <v>71</v>
      </c>
      <c r="N97">
        <v>730796</v>
      </c>
      <c r="O97">
        <v>421379.77</v>
      </c>
      <c r="P97">
        <v>309416.23</v>
      </c>
      <c r="Q97" t="s">
        <v>31</v>
      </c>
      <c r="R97" t="s">
        <v>54</v>
      </c>
      <c r="S97" t="s">
        <v>106</v>
      </c>
      <c r="T97">
        <v>39.883600000000001</v>
      </c>
    </row>
    <row r="98" spans="1:20" x14ac:dyDescent="0.25">
      <c r="A98" t="s">
        <v>401</v>
      </c>
      <c r="B98" t="s">
        <v>402</v>
      </c>
      <c r="C98" t="s">
        <v>83</v>
      </c>
      <c r="D98" t="s">
        <v>227</v>
      </c>
      <c r="E98" t="s">
        <v>178</v>
      </c>
      <c r="F98" t="s">
        <v>39</v>
      </c>
      <c r="G98" t="s">
        <v>403</v>
      </c>
      <c r="H98" t="s">
        <v>67</v>
      </c>
      <c r="I98" t="s">
        <v>41</v>
      </c>
      <c r="J98" t="s">
        <v>283</v>
      </c>
      <c r="K98">
        <v>18</v>
      </c>
      <c r="L98">
        <v>5836</v>
      </c>
      <c r="M98" t="s">
        <v>30</v>
      </c>
      <c r="N98">
        <v>94543.2</v>
      </c>
      <c r="O98">
        <v>51761.37</v>
      </c>
      <c r="P98">
        <v>42781.83</v>
      </c>
      <c r="Q98" t="s">
        <v>62</v>
      </c>
      <c r="R98" t="s">
        <v>54</v>
      </c>
      <c r="S98" t="s">
        <v>33</v>
      </c>
      <c r="T98">
        <v>23.484400000000001</v>
      </c>
    </row>
    <row r="99" spans="1:20" x14ac:dyDescent="0.25">
      <c r="A99" t="s">
        <v>404</v>
      </c>
      <c r="B99" t="s">
        <v>405</v>
      </c>
      <c r="C99" t="s">
        <v>57</v>
      </c>
      <c r="D99" t="s">
        <v>74</v>
      </c>
      <c r="E99" t="s">
        <v>184</v>
      </c>
      <c r="F99" t="s">
        <v>91</v>
      </c>
      <c r="G99" t="s">
        <v>282</v>
      </c>
      <c r="H99" t="s">
        <v>67</v>
      </c>
      <c r="I99" t="s">
        <v>77</v>
      </c>
      <c r="J99" t="s">
        <v>145</v>
      </c>
      <c r="L99">
        <v>8928</v>
      </c>
      <c r="M99" t="s">
        <v>30</v>
      </c>
      <c r="N99">
        <v>658886.40000000002</v>
      </c>
      <c r="O99">
        <v>466421.48</v>
      </c>
      <c r="P99">
        <v>192464.92</v>
      </c>
      <c r="Q99" t="s">
        <v>31</v>
      </c>
      <c r="R99" t="s">
        <v>32</v>
      </c>
      <c r="S99" t="s">
        <v>106</v>
      </c>
      <c r="T99">
        <v>23.954799999999999</v>
      </c>
    </row>
    <row r="100" spans="1:20" x14ac:dyDescent="0.25">
      <c r="A100" t="s">
        <v>406</v>
      </c>
      <c r="B100" t="s">
        <v>407</v>
      </c>
      <c r="C100" t="s">
        <v>118</v>
      </c>
      <c r="D100" t="s">
        <v>65</v>
      </c>
      <c r="E100" t="s">
        <v>178</v>
      </c>
      <c r="F100" t="s">
        <v>49</v>
      </c>
      <c r="G100" t="s">
        <v>408</v>
      </c>
      <c r="H100" t="s">
        <v>67</v>
      </c>
      <c r="I100" t="s">
        <v>41</v>
      </c>
      <c r="J100" t="s">
        <v>204</v>
      </c>
      <c r="K100">
        <v>91</v>
      </c>
      <c r="L100">
        <v>48154</v>
      </c>
      <c r="M100" t="s">
        <v>30</v>
      </c>
      <c r="N100">
        <v>3943812.6</v>
      </c>
      <c r="O100">
        <v>3072469.74</v>
      </c>
      <c r="P100">
        <v>871342.86</v>
      </c>
      <c r="Q100" t="s">
        <v>62</v>
      </c>
      <c r="R100" t="s">
        <v>32</v>
      </c>
      <c r="S100" t="s">
        <v>33</v>
      </c>
      <c r="T100">
        <v>36.365900000000003</v>
      </c>
    </row>
    <row r="101" spans="1:20" x14ac:dyDescent="0.25">
      <c r="A101" t="s">
        <v>409</v>
      </c>
      <c r="B101" t="s">
        <v>410</v>
      </c>
      <c r="C101" t="s">
        <v>83</v>
      </c>
      <c r="D101" t="s">
        <v>58</v>
      </c>
      <c r="E101" t="s">
        <v>38</v>
      </c>
      <c r="F101" t="s">
        <v>60</v>
      </c>
      <c r="G101" t="s">
        <v>314</v>
      </c>
      <c r="H101" t="s">
        <v>67</v>
      </c>
      <c r="I101" t="s">
        <v>52</v>
      </c>
      <c r="J101" t="s">
        <v>140</v>
      </c>
      <c r="L101">
        <v>26483</v>
      </c>
      <c r="M101" t="s">
        <v>80</v>
      </c>
      <c r="N101">
        <v>832890.35</v>
      </c>
      <c r="O101">
        <v>629068.21</v>
      </c>
      <c r="P101">
        <v>203822.14</v>
      </c>
      <c r="Q101" t="s">
        <v>31</v>
      </c>
      <c r="R101" t="s">
        <v>54</v>
      </c>
      <c r="S101" t="s">
        <v>33</v>
      </c>
      <c r="T101">
        <v>38.831000000000003</v>
      </c>
    </row>
    <row r="102" spans="1:20" x14ac:dyDescent="0.25">
      <c r="A102" t="s">
        <v>411</v>
      </c>
      <c r="B102" t="s">
        <v>412</v>
      </c>
      <c r="C102" t="s">
        <v>83</v>
      </c>
      <c r="D102" t="s">
        <v>195</v>
      </c>
      <c r="E102" t="s">
        <v>59</v>
      </c>
      <c r="F102" t="s">
        <v>49</v>
      </c>
      <c r="G102" t="s">
        <v>324</v>
      </c>
      <c r="H102" t="s">
        <v>51</v>
      </c>
      <c r="I102" t="s">
        <v>41</v>
      </c>
      <c r="J102" t="s">
        <v>283</v>
      </c>
      <c r="K102">
        <v>30</v>
      </c>
      <c r="L102">
        <v>16942</v>
      </c>
      <c r="M102" t="s">
        <v>71</v>
      </c>
      <c r="N102">
        <v>508260</v>
      </c>
      <c r="O102">
        <v>279167.92</v>
      </c>
      <c r="P102">
        <v>229092.08</v>
      </c>
      <c r="Q102" t="s">
        <v>86</v>
      </c>
      <c r="R102" t="s">
        <v>32</v>
      </c>
      <c r="S102" t="s">
        <v>44</v>
      </c>
      <c r="T102">
        <v>46.0687</v>
      </c>
    </row>
    <row r="103" spans="1:20" x14ac:dyDescent="0.25">
      <c r="A103" t="s">
        <v>413</v>
      </c>
      <c r="B103" t="s">
        <v>414</v>
      </c>
      <c r="C103" t="s">
        <v>118</v>
      </c>
      <c r="D103" t="s">
        <v>89</v>
      </c>
      <c r="E103" t="s">
        <v>59</v>
      </c>
      <c r="F103" t="s">
        <v>60</v>
      </c>
      <c r="G103" t="s">
        <v>144</v>
      </c>
      <c r="H103" t="s">
        <v>51</v>
      </c>
      <c r="I103" t="s">
        <v>41</v>
      </c>
      <c r="J103" t="s">
        <v>321</v>
      </c>
      <c r="K103">
        <v>42</v>
      </c>
      <c r="L103">
        <v>11511</v>
      </c>
      <c r="M103" t="s">
        <v>71</v>
      </c>
      <c r="N103">
        <v>483462</v>
      </c>
      <c r="O103">
        <v>302863.90000000002</v>
      </c>
      <c r="P103">
        <v>180598.1</v>
      </c>
      <c r="Q103" t="s">
        <v>86</v>
      </c>
      <c r="R103" t="s">
        <v>43</v>
      </c>
      <c r="S103" t="s">
        <v>44</v>
      </c>
      <c r="T103">
        <v>3.7624</v>
      </c>
    </row>
    <row r="104" spans="1:20" x14ac:dyDescent="0.25">
      <c r="A104" t="s">
        <v>415</v>
      </c>
      <c r="B104" t="s">
        <v>416</v>
      </c>
      <c r="C104" t="s">
        <v>83</v>
      </c>
      <c r="D104" t="s">
        <v>169</v>
      </c>
      <c r="E104" t="s">
        <v>59</v>
      </c>
      <c r="F104" t="s">
        <v>39</v>
      </c>
      <c r="G104" t="s">
        <v>265</v>
      </c>
      <c r="H104" t="s">
        <v>27</v>
      </c>
      <c r="I104" t="s">
        <v>41</v>
      </c>
      <c r="J104" t="s">
        <v>276</v>
      </c>
      <c r="K104">
        <v>31</v>
      </c>
      <c r="L104">
        <v>11119</v>
      </c>
      <c r="M104" t="s">
        <v>71</v>
      </c>
      <c r="N104">
        <v>344689</v>
      </c>
      <c r="O104">
        <v>181189.18</v>
      </c>
      <c r="P104">
        <v>163499.82</v>
      </c>
      <c r="Q104" t="s">
        <v>86</v>
      </c>
      <c r="R104" t="s">
        <v>32</v>
      </c>
      <c r="S104" t="s">
        <v>106</v>
      </c>
      <c r="T104">
        <v>41.762799999999999</v>
      </c>
    </row>
    <row r="105" spans="1:20" x14ac:dyDescent="0.25">
      <c r="A105" t="s">
        <v>417</v>
      </c>
      <c r="B105" t="s">
        <v>418</v>
      </c>
      <c r="C105" t="s">
        <v>83</v>
      </c>
      <c r="D105" t="s">
        <v>96</v>
      </c>
      <c r="E105" t="s">
        <v>190</v>
      </c>
      <c r="F105" t="s">
        <v>138</v>
      </c>
      <c r="G105" t="s">
        <v>419</v>
      </c>
      <c r="H105" t="s">
        <v>27</v>
      </c>
      <c r="I105" t="s">
        <v>41</v>
      </c>
      <c r="J105" t="s">
        <v>85</v>
      </c>
      <c r="K105">
        <v>47</v>
      </c>
      <c r="L105">
        <v>43828</v>
      </c>
      <c r="M105" t="s">
        <v>80</v>
      </c>
      <c r="N105">
        <v>1750928.6</v>
      </c>
      <c r="O105">
        <v>1010495.49</v>
      </c>
      <c r="P105">
        <v>740433.11</v>
      </c>
      <c r="Q105" t="s">
        <v>62</v>
      </c>
      <c r="R105" t="s">
        <v>54</v>
      </c>
      <c r="S105" t="s">
        <v>33</v>
      </c>
      <c r="T105">
        <v>1.8987000000000001</v>
      </c>
    </row>
    <row r="106" spans="1:20" x14ac:dyDescent="0.25">
      <c r="A106" t="s">
        <v>420</v>
      </c>
      <c r="B106" t="s">
        <v>421</v>
      </c>
      <c r="C106" t="s">
        <v>83</v>
      </c>
      <c r="D106" t="s">
        <v>37</v>
      </c>
      <c r="E106" t="s">
        <v>75</v>
      </c>
      <c r="F106" t="s">
        <v>39</v>
      </c>
      <c r="G106" t="s">
        <v>422</v>
      </c>
      <c r="H106" t="s">
        <v>27</v>
      </c>
      <c r="I106" t="s">
        <v>77</v>
      </c>
      <c r="J106" t="s">
        <v>213</v>
      </c>
      <c r="K106">
        <v>11</v>
      </c>
      <c r="L106">
        <v>10158</v>
      </c>
      <c r="M106" t="s">
        <v>30</v>
      </c>
      <c r="N106">
        <v>100564.2</v>
      </c>
      <c r="O106">
        <v>73634.039999999994</v>
      </c>
      <c r="P106">
        <v>26930.16</v>
      </c>
      <c r="Q106" t="s">
        <v>31</v>
      </c>
      <c r="R106" t="s">
        <v>32</v>
      </c>
      <c r="S106" t="s">
        <v>33</v>
      </c>
      <c r="T106">
        <v>40.4497</v>
      </c>
    </row>
    <row r="107" spans="1:20" x14ac:dyDescent="0.25">
      <c r="A107" t="s">
        <v>423</v>
      </c>
      <c r="B107" t="s">
        <v>424</v>
      </c>
      <c r="C107" t="s">
        <v>83</v>
      </c>
      <c r="D107" t="s">
        <v>37</v>
      </c>
      <c r="E107" t="s">
        <v>130</v>
      </c>
      <c r="F107" t="s">
        <v>25</v>
      </c>
      <c r="G107" t="s">
        <v>425</v>
      </c>
      <c r="H107" t="s">
        <v>27</v>
      </c>
      <c r="I107" t="s">
        <v>41</v>
      </c>
      <c r="J107" t="s">
        <v>132</v>
      </c>
      <c r="K107">
        <v>57</v>
      </c>
      <c r="L107">
        <v>24278</v>
      </c>
      <c r="M107" t="s">
        <v>105</v>
      </c>
      <c r="N107">
        <v>1314653.7</v>
      </c>
      <c r="O107">
        <v>750387.06</v>
      </c>
      <c r="P107">
        <v>564266.64</v>
      </c>
      <c r="Q107" t="s">
        <v>62</v>
      </c>
      <c r="R107" t="s">
        <v>32</v>
      </c>
      <c r="S107" t="s">
        <v>106</v>
      </c>
      <c r="T107">
        <v>39.694800000000001</v>
      </c>
    </row>
    <row r="108" spans="1:20" x14ac:dyDescent="0.25">
      <c r="A108" t="s">
        <v>426</v>
      </c>
      <c r="B108" t="s">
        <v>427</v>
      </c>
      <c r="C108" t="s">
        <v>118</v>
      </c>
      <c r="D108" t="s">
        <v>183</v>
      </c>
      <c r="E108" t="s">
        <v>202</v>
      </c>
      <c r="F108" t="s">
        <v>39</v>
      </c>
      <c r="G108" t="s">
        <v>191</v>
      </c>
      <c r="H108" t="s">
        <v>51</v>
      </c>
      <c r="I108" t="s">
        <v>41</v>
      </c>
      <c r="J108" t="s">
        <v>259</v>
      </c>
      <c r="K108">
        <v>62</v>
      </c>
      <c r="L108">
        <v>17711</v>
      </c>
      <c r="M108" t="s">
        <v>80</v>
      </c>
      <c r="N108">
        <v>933369.7</v>
      </c>
      <c r="O108">
        <v>666476.98</v>
      </c>
      <c r="P108">
        <v>266892.71999999997</v>
      </c>
      <c r="Q108" t="s">
        <v>86</v>
      </c>
      <c r="R108" t="s">
        <v>32</v>
      </c>
      <c r="S108" t="s">
        <v>33</v>
      </c>
      <c r="T108">
        <v>9.7669999999999995</v>
      </c>
    </row>
    <row r="109" spans="1:20" x14ac:dyDescent="0.25">
      <c r="A109" t="s">
        <v>428</v>
      </c>
      <c r="B109" t="s">
        <v>429</v>
      </c>
      <c r="C109" t="s">
        <v>57</v>
      </c>
      <c r="D109" t="s">
        <v>189</v>
      </c>
      <c r="E109" t="s">
        <v>376</v>
      </c>
      <c r="F109" t="s">
        <v>60</v>
      </c>
      <c r="G109" t="s">
        <v>330</v>
      </c>
      <c r="H109" t="s">
        <v>27</v>
      </c>
      <c r="I109" t="s">
        <v>28</v>
      </c>
      <c r="J109" t="s">
        <v>132</v>
      </c>
      <c r="K109">
        <v>2</v>
      </c>
      <c r="L109">
        <v>10612</v>
      </c>
      <c r="M109" t="s">
        <v>30</v>
      </c>
      <c r="N109">
        <v>19101.599999999999</v>
      </c>
      <c r="O109">
        <v>13520.15</v>
      </c>
      <c r="P109">
        <v>5581.45</v>
      </c>
      <c r="Q109" t="s">
        <v>62</v>
      </c>
      <c r="R109" t="s">
        <v>32</v>
      </c>
      <c r="S109" t="s">
        <v>106</v>
      </c>
      <c r="T109">
        <v>10.146000000000001</v>
      </c>
    </row>
    <row r="110" spans="1:20" x14ac:dyDescent="0.25">
      <c r="A110" t="s">
        <v>430</v>
      </c>
      <c r="B110" t="s">
        <v>431</v>
      </c>
      <c r="C110" t="s">
        <v>36</v>
      </c>
      <c r="D110" t="s">
        <v>23</v>
      </c>
      <c r="E110" t="s">
        <v>376</v>
      </c>
      <c r="F110" t="s">
        <v>39</v>
      </c>
      <c r="G110" t="s">
        <v>298</v>
      </c>
      <c r="H110" t="s">
        <v>51</v>
      </c>
      <c r="I110" t="s">
        <v>52</v>
      </c>
      <c r="J110" t="s">
        <v>338</v>
      </c>
      <c r="K110">
        <v>87</v>
      </c>
      <c r="L110">
        <v>3099</v>
      </c>
      <c r="M110" t="s">
        <v>105</v>
      </c>
      <c r="N110">
        <v>256132.35</v>
      </c>
      <c r="O110">
        <v>168075.01</v>
      </c>
      <c r="P110">
        <v>88057.34</v>
      </c>
      <c r="Q110" t="s">
        <v>62</v>
      </c>
      <c r="R110" t="s">
        <v>32</v>
      </c>
      <c r="S110" t="s">
        <v>33</v>
      </c>
      <c r="T110">
        <v>48.762799999999999</v>
      </c>
    </row>
    <row r="111" spans="1:20" x14ac:dyDescent="0.25">
      <c r="A111" t="s">
        <v>432</v>
      </c>
      <c r="B111" t="s">
        <v>433</v>
      </c>
      <c r="C111" t="s">
        <v>36</v>
      </c>
      <c r="D111" t="s">
        <v>113</v>
      </c>
      <c r="E111" t="s">
        <v>120</v>
      </c>
      <c r="F111" t="s">
        <v>138</v>
      </c>
      <c r="G111" t="s">
        <v>434</v>
      </c>
      <c r="H111" t="s">
        <v>27</v>
      </c>
      <c r="I111" t="s">
        <v>41</v>
      </c>
      <c r="J111" t="s">
        <v>132</v>
      </c>
      <c r="K111">
        <v>27</v>
      </c>
      <c r="L111">
        <v>4235</v>
      </c>
      <c r="M111" t="s">
        <v>71</v>
      </c>
      <c r="N111">
        <v>114345</v>
      </c>
      <c r="O111">
        <v>85674.79</v>
      </c>
      <c r="P111">
        <v>28670.21</v>
      </c>
      <c r="Q111" t="s">
        <v>62</v>
      </c>
      <c r="R111" t="s">
        <v>43</v>
      </c>
      <c r="S111" t="s">
        <v>106</v>
      </c>
      <c r="T111">
        <v>16.4146</v>
      </c>
    </row>
    <row r="112" spans="1:20" x14ac:dyDescent="0.25">
      <c r="A112" t="s">
        <v>435</v>
      </c>
      <c r="B112" t="s">
        <v>436</v>
      </c>
      <c r="C112" t="s">
        <v>118</v>
      </c>
      <c r="D112" t="s">
        <v>89</v>
      </c>
      <c r="E112" t="s">
        <v>163</v>
      </c>
      <c r="F112" t="s">
        <v>60</v>
      </c>
      <c r="G112" t="s">
        <v>422</v>
      </c>
      <c r="H112" t="s">
        <v>67</v>
      </c>
      <c r="I112" t="s">
        <v>68</v>
      </c>
      <c r="J112" t="s">
        <v>276</v>
      </c>
      <c r="K112">
        <v>7</v>
      </c>
      <c r="L112">
        <v>5403</v>
      </c>
      <c r="M112" t="s">
        <v>105</v>
      </c>
      <c r="N112">
        <v>35929.949999999997</v>
      </c>
      <c r="O112">
        <v>31453.08</v>
      </c>
      <c r="P112">
        <v>4476.87</v>
      </c>
      <c r="Q112" t="s">
        <v>86</v>
      </c>
      <c r="R112" t="s">
        <v>32</v>
      </c>
      <c r="S112" t="s">
        <v>106</v>
      </c>
      <c r="T112">
        <v>11.2895</v>
      </c>
    </row>
    <row r="113" spans="1:20" x14ac:dyDescent="0.25">
      <c r="A113" t="s">
        <v>437</v>
      </c>
      <c r="B113" t="s">
        <v>438</v>
      </c>
      <c r="C113" t="s">
        <v>36</v>
      </c>
      <c r="D113" t="s">
        <v>311</v>
      </c>
      <c r="E113" t="s">
        <v>66</v>
      </c>
      <c r="F113" t="s">
        <v>60</v>
      </c>
      <c r="G113" t="s">
        <v>288</v>
      </c>
      <c r="H113" t="s">
        <v>98</v>
      </c>
      <c r="I113" t="s">
        <v>28</v>
      </c>
      <c r="J113" t="s">
        <v>140</v>
      </c>
      <c r="K113">
        <v>94</v>
      </c>
      <c r="L113">
        <v>35597</v>
      </c>
      <c r="M113" t="s">
        <v>30</v>
      </c>
      <c r="N113">
        <v>3011506.2</v>
      </c>
      <c r="O113">
        <v>1659341.38</v>
      </c>
      <c r="P113">
        <v>1352164.82</v>
      </c>
      <c r="Q113" t="s">
        <v>31</v>
      </c>
      <c r="R113" t="s">
        <v>32</v>
      </c>
      <c r="S113" t="s">
        <v>106</v>
      </c>
      <c r="T113">
        <v>55.952399999999997</v>
      </c>
    </row>
    <row r="114" spans="1:20" x14ac:dyDescent="0.25">
      <c r="A114" t="s">
        <v>439</v>
      </c>
      <c r="B114" t="s">
        <v>440</v>
      </c>
      <c r="C114" t="s">
        <v>118</v>
      </c>
      <c r="D114" t="s">
        <v>212</v>
      </c>
      <c r="E114" t="s">
        <v>120</v>
      </c>
      <c r="F114" t="s">
        <v>60</v>
      </c>
      <c r="G114" t="s">
        <v>293</v>
      </c>
      <c r="H114" t="s">
        <v>67</v>
      </c>
      <c r="I114" t="s">
        <v>41</v>
      </c>
      <c r="J114" t="s">
        <v>229</v>
      </c>
      <c r="K114">
        <v>-4</v>
      </c>
      <c r="L114" t="s">
        <v>441</v>
      </c>
      <c r="M114" t="s">
        <v>71</v>
      </c>
      <c r="N114">
        <v>-178412</v>
      </c>
      <c r="O114">
        <v>115101.84</v>
      </c>
      <c r="P114">
        <v>-293513.84000000003</v>
      </c>
      <c r="Q114" t="s">
        <v>31</v>
      </c>
      <c r="R114" t="s">
        <v>54</v>
      </c>
      <c r="S114" t="s">
        <v>44</v>
      </c>
      <c r="T114">
        <v>2.0629</v>
      </c>
    </row>
    <row r="115" spans="1:20" x14ac:dyDescent="0.25">
      <c r="A115" t="s">
        <v>442</v>
      </c>
      <c r="B115" t="s">
        <v>443</v>
      </c>
      <c r="C115" t="s">
        <v>22</v>
      </c>
      <c r="D115" t="s">
        <v>156</v>
      </c>
      <c r="E115" t="s">
        <v>24</v>
      </c>
      <c r="F115" t="s">
        <v>60</v>
      </c>
      <c r="G115" t="s">
        <v>444</v>
      </c>
      <c r="H115" t="s">
        <v>27</v>
      </c>
      <c r="I115" t="s">
        <v>52</v>
      </c>
      <c r="J115" t="s">
        <v>321</v>
      </c>
      <c r="K115">
        <v>56</v>
      </c>
      <c r="L115">
        <v>14307</v>
      </c>
      <c r="M115" t="s">
        <v>71</v>
      </c>
      <c r="N115">
        <v>801192</v>
      </c>
      <c r="O115">
        <v>646146.80000000005</v>
      </c>
      <c r="P115">
        <v>155045.20000000001</v>
      </c>
      <c r="Q115" t="s">
        <v>86</v>
      </c>
      <c r="R115" t="s">
        <v>54</v>
      </c>
      <c r="S115" t="s">
        <v>106</v>
      </c>
      <c r="T115">
        <v>5.7293000000000003</v>
      </c>
    </row>
    <row r="116" spans="1:20" x14ac:dyDescent="0.25">
      <c r="A116" t="s">
        <v>445</v>
      </c>
      <c r="B116" t="s">
        <v>446</v>
      </c>
      <c r="C116" t="s">
        <v>36</v>
      </c>
      <c r="D116" t="s">
        <v>227</v>
      </c>
      <c r="E116" t="s">
        <v>190</v>
      </c>
      <c r="F116" t="s">
        <v>25</v>
      </c>
      <c r="G116" t="s">
        <v>444</v>
      </c>
      <c r="H116" t="s">
        <v>98</v>
      </c>
      <c r="I116" t="s">
        <v>41</v>
      </c>
      <c r="J116" t="s">
        <v>259</v>
      </c>
      <c r="K116">
        <v>82</v>
      </c>
      <c r="L116">
        <v>12053</v>
      </c>
      <c r="M116" t="s">
        <v>71</v>
      </c>
      <c r="N116">
        <v>988346</v>
      </c>
      <c r="O116">
        <v>519865.21</v>
      </c>
      <c r="P116">
        <v>468480.79</v>
      </c>
      <c r="Q116" t="s">
        <v>31</v>
      </c>
      <c r="R116" t="s">
        <v>54</v>
      </c>
      <c r="S116" t="s">
        <v>106</v>
      </c>
      <c r="T116">
        <v>3.9739</v>
      </c>
    </row>
    <row r="117" spans="1:20" x14ac:dyDescent="0.25">
      <c r="A117" t="s">
        <v>447</v>
      </c>
      <c r="B117" t="s">
        <v>448</v>
      </c>
      <c r="C117" t="s">
        <v>36</v>
      </c>
      <c r="D117" t="s">
        <v>58</v>
      </c>
      <c r="E117" t="s">
        <v>376</v>
      </c>
      <c r="F117" t="s">
        <v>138</v>
      </c>
      <c r="G117" t="s">
        <v>228</v>
      </c>
      <c r="H117" t="s">
        <v>51</v>
      </c>
      <c r="I117" t="s">
        <v>52</v>
      </c>
      <c r="J117" t="s">
        <v>29</v>
      </c>
      <c r="K117">
        <v>58</v>
      </c>
      <c r="L117">
        <v>11971</v>
      </c>
      <c r="M117" t="s">
        <v>80</v>
      </c>
      <c r="N117">
        <v>590170.30000000005</v>
      </c>
      <c r="O117">
        <v>386222.69</v>
      </c>
      <c r="P117">
        <v>203947.61</v>
      </c>
      <c r="Q117" t="s">
        <v>86</v>
      </c>
      <c r="R117" t="s">
        <v>43</v>
      </c>
      <c r="S117" t="s">
        <v>44</v>
      </c>
      <c r="T117">
        <v>21.126200000000001</v>
      </c>
    </row>
    <row r="118" spans="1:20" x14ac:dyDescent="0.25">
      <c r="A118" t="s">
        <v>449</v>
      </c>
      <c r="B118" t="s">
        <v>450</v>
      </c>
      <c r="C118" t="s">
        <v>118</v>
      </c>
      <c r="D118" t="s">
        <v>96</v>
      </c>
      <c r="E118" t="s">
        <v>120</v>
      </c>
      <c r="F118" t="s">
        <v>25</v>
      </c>
      <c r="G118" t="s">
        <v>170</v>
      </c>
      <c r="H118" t="s">
        <v>51</v>
      </c>
      <c r="I118" t="s">
        <v>77</v>
      </c>
      <c r="J118" t="s">
        <v>268</v>
      </c>
      <c r="K118">
        <v>4</v>
      </c>
      <c r="L118">
        <v>31439</v>
      </c>
      <c r="M118" t="s">
        <v>71</v>
      </c>
      <c r="N118">
        <v>125756</v>
      </c>
      <c r="O118">
        <v>112417.43</v>
      </c>
      <c r="P118">
        <v>13338.57</v>
      </c>
      <c r="Q118" t="s">
        <v>86</v>
      </c>
      <c r="R118" t="s">
        <v>54</v>
      </c>
      <c r="S118" t="s">
        <v>33</v>
      </c>
      <c r="T118">
        <v>57.0473</v>
      </c>
    </row>
    <row r="119" spans="1:20" x14ac:dyDescent="0.25">
      <c r="A119" t="s">
        <v>451</v>
      </c>
      <c r="B119" t="s">
        <v>452</v>
      </c>
      <c r="C119" t="s">
        <v>36</v>
      </c>
      <c r="D119" t="s">
        <v>169</v>
      </c>
      <c r="E119" t="s">
        <v>130</v>
      </c>
      <c r="F119" t="s">
        <v>91</v>
      </c>
      <c r="G119" t="s">
        <v>288</v>
      </c>
      <c r="H119" t="s">
        <v>51</v>
      </c>
      <c r="I119" t="s">
        <v>52</v>
      </c>
      <c r="J119" t="s">
        <v>140</v>
      </c>
      <c r="K119">
        <v>67</v>
      </c>
      <c r="L119">
        <v>46810</v>
      </c>
      <c r="M119" t="s">
        <v>71</v>
      </c>
      <c r="N119">
        <v>3136270</v>
      </c>
      <c r="O119">
        <v>2176713.5</v>
      </c>
      <c r="P119">
        <v>959556.5</v>
      </c>
      <c r="Q119" t="s">
        <v>31</v>
      </c>
      <c r="R119" t="s">
        <v>32</v>
      </c>
      <c r="S119" t="s">
        <v>44</v>
      </c>
      <c r="T119">
        <v>27.546600000000002</v>
      </c>
    </row>
    <row r="120" spans="1:20" x14ac:dyDescent="0.25">
      <c r="A120" t="s">
        <v>453</v>
      </c>
      <c r="B120" t="s">
        <v>454</v>
      </c>
      <c r="C120" t="s">
        <v>83</v>
      </c>
      <c r="D120" t="s">
        <v>311</v>
      </c>
      <c r="E120" t="s">
        <v>90</v>
      </c>
      <c r="F120" t="s">
        <v>25</v>
      </c>
      <c r="G120" t="s">
        <v>131</v>
      </c>
      <c r="H120" t="s">
        <v>51</v>
      </c>
      <c r="I120" t="s">
        <v>68</v>
      </c>
      <c r="J120" t="s">
        <v>272</v>
      </c>
      <c r="K120">
        <v>78</v>
      </c>
      <c r="L120">
        <v>17445</v>
      </c>
      <c r="M120" t="s">
        <v>105</v>
      </c>
      <c r="N120">
        <v>1292674.5</v>
      </c>
      <c r="O120">
        <v>872943.41</v>
      </c>
      <c r="P120">
        <v>419731.09</v>
      </c>
      <c r="Q120" t="s">
        <v>62</v>
      </c>
      <c r="R120" t="s">
        <v>43</v>
      </c>
      <c r="S120" t="s">
        <v>33</v>
      </c>
      <c r="T120">
        <v>42.8187</v>
      </c>
    </row>
    <row r="121" spans="1:20" x14ac:dyDescent="0.25">
      <c r="A121" t="s">
        <v>455</v>
      </c>
      <c r="B121" t="s">
        <v>456</v>
      </c>
      <c r="C121" t="s">
        <v>22</v>
      </c>
      <c r="D121" t="s">
        <v>311</v>
      </c>
      <c r="E121" t="s">
        <v>66</v>
      </c>
      <c r="F121" t="s">
        <v>25</v>
      </c>
      <c r="G121" t="s">
        <v>330</v>
      </c>
      <c r="H121" t="s">
        <v>27</v>
      </c>
      <c r="I121" t="s">
        <v>68</v>
      </c>
      <c r="J121" t="s">
        <v>235</v>
      </c>
      <c r="K121">
        <v>64</v>
      </c>
      <c r="L121">
        <v>6019</v>
      </c>
      <c r="M121" t="s">
        <v>105</v>
      </c>
      <c r="N121">
        <v>365955.2</v>
      </c>
      <c r="O121">
        <v>231654.79</v>
      </c>
      <c r="P121">
        <v>134300.41</v>
      </c>
      <c r="Q121" t="s">
        <v>62</v>
      </c>
      <c r="R121" t="s">
        <v>54</v>
      </c>
      <c r="S121" t="s">
        <v>44</v>
      </c>
      <c r="T121">
        <v>52.626100000000001</v>
      </c>
    </row>
    <row r="122" spans="1:20" x14ac:dyDescent="0.25">
      <c r="A122" t="s">
        <v>457</v>
      </c>
      <c r="B122" t="s">
        <v>458</v>
      </c>
      <c r="C122" t="s">
        <v>118</v>
      </c>
      <c r="D122" t="s">
        <v>23</v>
      </c>
      <c r="E122" t="s">
        <v>75</v>
      </c>
      <c r="F122" t="s">
        <v>25</v>
      </c>
      <c r="G122" t="s">
        <v>459</v>
      </c>
      <c r="H122" t="s">
        <v>98</v>
      </c>
      <c r="I122" t="s">
        <v>68</v>
      </c>
      <c r="J122" t="s">
        <v>460</v>
      </c>
      <c r="K122">
        <v>57</v>
      </c>
      <c r="L122" t="s">
        <v>461</v>
      </c>
      <c r="M122" t="s">
        <v>30</v>
      </c>
      <c r="N122">
        <v>133790.39999999999</v>
      </c>
      <c r="O122">
        <v>104220.46</v>
      </c>
      <c r="P122">
        <v>29569.94</v>
      </c>
      <c r="Q122" t="s">
        <v>86</v>
      </c>
      <c r="R122" t="s">
        <v>43</v>
      </c>
      <c r="S122" t="s">
        <v>33</v>
      </c>
      <c r="T122">
        <v>52.451500000000003</v>
      </c>
    </row>
    <row r="123" spans="1:20" x14ac:dyDescent="0.25">
      <c r="A123" t="s">
        <v>462</v>
      </c>
      <c r="B123" t="s">
        <v>463</v>
      </c>
      <c r="C123" t="s">
        <v>83</v>
      </c>
      <c r="D123" t="s">
        <v>189</v>
      </c>
      <c r="E123" t="s">
        <v>75</v>
      </c>
      <c r="F123" t="s">
        <v>91</v>
      </c>
      <c r="G123" t="s">
        <v>223</v>
      </c>
      <c r="H123" t="s">
        <v>67</v>
      </c>
      <c r="I123" t="s">
        <v>68</v>
      </c>
      <c r="J123" t="s">
        <v>53</v>
      </c>
      <c r="K123">
        <v>37</v>
      </c>
      <c r="L123">
        <v>12322</v>
      </c>
      <c r="M123" t="s">
        <v>71</v>
      </c>
      <c r="N123">
        <v>455914</v>
      </c>
      <c r="O123">
        <v>275550.81</v>
      </c>
      <c r="P123">
        <v>180363.19</v>
      </c>
      <c r="Q123" t="s">
        <v>86</v>
      </c>
      <c r="R123" t="s">
        <v>32</v>
      </c>
      <c r="S123" t="s">
        <v>106</v>
      </c>
      <c r="T123">
        <v>34.430799999999998</v>
      </c>
    </row>
    <row r="124" spans="1:20" x14ac:dyDescent="0.25">
      <c r="A124" t="s">
        <v>464</v>
      </c>
      <c r="B124" t="s">
        <v>465</v>
      </c>
      <c r="C124" t="s">
        <v>83</v>
      </c>
      <c r="D124" t="s">
        <v>65</v>
      </c>
      <c r="E124" t="s">
        <v>130</v>
      </c>
      <c r="F124" t="s">
        <v>60</v>
      </c>
      <c r="G124" t="s">
        <v>422</v>
      </c>
      <c r="H124" t="s">
        <v>67</v>
      </c>
      <c r="I124" t="s">
        <v>68</v>
      </c>
      <c r="J124" t="s">
        <v>186</v>
      </c>
      <c r="K124">
        <v>61</v>
      </c>
      <c r="L124">
        <v>32962</v>
      </c>
      <c r="M124" t="s">
        <v>30</v>
      </c>
      <c r="N124">
        <v>1809613.8</v>
      </c>
      <c r="O124">
        <v>1187097.21</v>
      </c>
      <c r="P124">
        <v>622516.59</v>
      </c>
      <c r="Q124" t="s">
        <v>86</v>
      </c>
      <c r="R124" t="s">
        <v>32</v>
      </c>
      <c r="S124" t="s">
        <v>33</v>
      </c>
      <c r="T124">
        <v>15.529199999999999</v>
      </c>
    </row>
    <row r="125" spans="1:20" x14ac:dyDescent="0.25">
      <c r="A125" t="s">
        <v>466</v>
      </c>
      <c r="B125" t="s">
        <v>467</v>
      </c>
      <c r="C125" t="s">
        <v>118</v>
      </c>
      <c r="D125" t="s">
        <v>109</v>
      </c>
      <c r="E125" t="s">
        <v>190</v>
      </c>
      <c r="F125" t="s">
        <v>138</v>
      </c>
      <c r="G125" t="s">
        <v>152</v>
      </c>
      <c r="H125" t="s">
        <v>51</v>
      </c>
      <c r="I125" t="s">
        <v>52</v>
      </c>
      <c r="J125" t="s">
        <v>377</v>
      </c>
      <c r="K125">
        <v>51</v>
      </c>
      <c r="L125">
        <v>13324</v>
      </c>
      <c r="M125" t="s">
        <v>71</v>
      </c>
      <c r="N125">
        <v>679524</v>
      </c>
      <c r="O125">
        <v>497716.26</v>
      </c>
      <c r="P125">
        <v>181807.74</v>
      </c>
      <c r="Q125" t="s">
        <v>62</v>
      </c>
      <c r="R125" t="s">
        <v>54</v>
      </c>
      <c r="S125" t="s">
        <v>106</v>
      </c>
      <c r="T125">
        <v>7.0125999999999999</v>
      </c>
    </row>
    <row r="126" spans="1:20" x14ac:dyDescent="0.25">
      <c r="A126" t="s">
        <v>468</v>
      </c>
      <c r="B126" t="s">
        <v>469</v>
      </c>
      <c r="C126" t="s">
        <v>57</v>
      </c>
      <c r="D126" t="s">
        <v>156</v>
      </c>
      <c r="E126" t="s">
        <v>163</v>
      </c>
      <c r="F126" t="s">
        <v>60</v>
      </c>
      <c r="G126" t="s">
        <v>317</v>
      </c>
      <c r="H126" t="s">
        <v>51</v>
      </c>
      <c r="I126" t="s">
        <v>41</v>
      </c>
      <c r="J126" t="s">
        <v>213</v>
      </c>
      <c r="K126">
        <v>23</v>
      </c>
      <c r="L126">
        <v>45010</v>
      </c>
      <c r="M126" t="s">
        <v>71</v>
      </c>
      <c r="N126">
        <v>1035230</v>
      </c>
      <c r="O126">
        <v>791383.76</v>
      </c>
      <c r="P126">
        <v>243846.24</v>
      </c>
      <c r="Q126" t="s">
        <v>62</v>
      </c>
      <c r="R126" t="s">
        <v>32</v>
      </c>
      <c r="S126" t="s">
        <v>33</v>
      </c>
      <c r="T126">
        <v>57.371499999999997</v>
      </c>
    </row>
    <row r="127" spans="1:20" x14ac:dyDescent="0.25">
      <c r="A127" t="s">
        <v>470</v>
      </c>
      <c r="B127" t="s">
        <v>471</v>
      </c>
      <c r="C127" t="s">
        <v>118</v>
      </c>
      <c r="D127" t="s">
        <v>113</v>
      </c>
      <c r="E127" t="s">
        <v>202</v>
      </c>
      <c r="F127" t="s">
        <v>25</v>
      </c>
      <c r="G127" t="s">
        <v>131</v>
      </c>
      <c r="H127" t="s">
        <v>27</v>
      </c>
      <c r="I127" t="s">
        <v>68</v>
      </c>
      <c r="J127" t="s">
        <v>69</v>
      </c>
      <c r="K127">
        <v>85</v>
      </c>
      <c r="L127" t="s">
        <v>472</v>
      </c>
      <c r="M127" t="s">
        <v>71</v>
      </c>
      <c r="N127">
        <v>1085620</v>
      </c>
      <c r="O127">
        <v>629242.06999999995</v>
      </c>
      <c r="P127">
        <v>456377.93</v>
      </c>
      <c r="Q127" t="s">
        <v>62</v>
      </c>
      <c r="R127" t="s">
        <v>54</v>
      </c>
      <c r="S127" t="s">
        <v>33</v>
      </c>
      <c r="T127">
        <v>43.050899999999999</v>
      </c>
    </row>
    <row r="128" spans="1:20" x14ac:dyDescent="0.25">
      <c r="A128" t="s">
        <v>473</v>
      </c>
      <c r="B128" t="s">
        <v>474</v>
      </c>
      <c r="C128" t="s">
        <v>36</v>
      </c>
      <c r="D128" t="s">
        <v>156</v>
      </c>
      <c r="E128" t="s">
        <v>184</v>
      </c>
      <c r="F128" t="s">
        <v>60</v>
      </c>
      <c r="G128" t="s">
        <v>434</v>
      </c>
      <c r="H128" t="s">
        <v>51</v>
      </c>
      <c r="I128" t="s">
        <v>28</v>
      </c>
      <c r="J128" t="s">
        <v>153</v>
      </c>
      <c r="K128">
        <v>22</v>
      </c>
      <c r="L128">
        <v>38268</v>
      </c>
      <c r="M128" t="s">
        <v>80</v>
      </c>
      <c r="N128">
        <v>715611.6</v>
      </c>
      <c r="O128">
        <v>372667.82</v>
      </c>
      <c r="P128">
        <v>342943.78</v>
      </c>
      <c r="Q128" t="s">
        <v>86</v>
      </c>
      <c r="R128" t="s">
        <v>43</v>
      </c>
      <c r="S128" t="s">
        <v>33</v>
      </c>
      <c r="T128">
        <v>29.7972</v>
      </c>
    </row>
    <row r="129" spans="1:20" x14ac:dyDescent="0.25">
      <c r="A129" t="s">
        <v>475</v>
      </c>
      <c r="B129" t="s">
        <v>476</v>
      </c>
      <c r="C129" t="s">
        <v>118</v>
      </c>
      <c r="D129" t="s">
        <v>169</v>
      </c>
      <c r="E129" t="s">
        <v>75</v>
      </c>
      <c r="F129" t="s">
        <v>91</v>
      </c>
      <c r="G129" t="s">
        <v>203</v>
      </c>
      <c r="H129" t="s">
        <v>27</v>
      </c>
      <c r="I129" t="s">
        <v>52</v>
      </c>
      <c r="J129" t="s">
        <v>42</v>
      </c>
      <c r="K129">
        <v>67</v>
      </c>
      <c r="L129">
        <v>35165</v>
      </c>
      <c r="M129" t="s">
        <v>71</v>
      </c>
      <c r="N129">
        <v>2356055</v>
      </c>
      <c r="O129">
        <v>1832338.22</v>
      </c>
      <c r="P129">
        <v>523716.78</v>
      </c>
      <c r="Q129" t="s">
        <v>31</v>
      </c>
      <c r="R129" t="s">
        <v>54</v>
      </c>
      <c r="S129" t="s">
        <v>44</v>
      </c>
      <c r="T129">
        <v>53.213799999999999</v>
      </c>
    </row>
    <row r="130" spans="1:20" x14ac:dyDescent="0.25">
      <c r="A130" t="s">
        <v>477</v>
      </c>
      <c r="B130" t="s">
        <v>478</v>
      </c>
      <c r="C130" t="s">
        <v>22</v>
      </c>
      <c r="D130" t="s">
        <v>23</v>
      </c>
      <c r="E130" t="s">
        <v>38</v>
      </c>
      <c r="F130" t="s">
        <v>91</v>
      </c>
      <c r="G130" t="s">
        <v>185</v>
      </c>
      <c r="H130" t="s">
        <v>51</v>
      </c>
      <c r="I130" t="s">
        <v>28</v>
      </c>
      <c r="J130" t="s">
        <v>140</v>
      </c>
      <c r="K130">
        <v>18</v>
      </c>
      <c r="L130">
        <v>37024</v>
      </c>
      <c r="M130" t="s">
        <v>80</v>
      </c>
      <c r="N130">
        <v>566467.19999999995</v>
      </c>
      <c r="O130">
        <v>387299.92</v>
      </c>
      <c r="P130">
        <v>179167.28</v>
      </c>
      <c r="Q130" t="s">
        <v>31</v>
      </c>
      <c r="R130" t="s">
        <v>54</v>
      </c>
      <c r="S130" t="s">
        <v>106</v>
      </c>
      <c r="T130">
        <v>32.735999999999997</v>
      </c>
    </row>
    <row r="131" spans="1:20" x14ac:dyDescent="0.25">
      <c r="A131" t="s">
        <v>479</v>
      </c>
      <c r="B131" t="s">
        <v>480</v>
      </c>
      <c r="C131" t="s">
        <v>83</v>
      </c>
      <c r="D131" t="s">
        <v>74</v>
      </c>
      <c r="E131" t="s">
        <v>252</v>
      </c>
      <c r="F131" t="s">
        <v>49</v>
      </c>
      <c r="G131" t="s">
        <v>481</v>
      </c>
      <c r="H131" t="s">
        <v>51</v>
      </c>
      <c r="I131" t="s">
        <v>28</v>
      </c>
      <c r="J131" t="s">
        <v>208</v>
      </c>
      <c r="K131">
        <v>75</v>
      </c>
      <c r="L131">
        <v>19705</v>
      </c>
      <c r="M131" t="s">
        <v>105</v>
      </c>
      <c r="N131">
        <v>1403981.25</v>
      </c>
      <c r="O131">
        <v>1086694.08</v>
      </c>
      <c r="P131">
        <v>317287.17</v>
      </c>
      <c r="Q131" t="s">
        <v>86</v>
      </c>
      <c r="R131" t="s">
        <v>32</v>
      </c>
      <c r="S131" t="s">
        <v>44</v>
      </c>
      <c r="T131">
        <v>35.824300000000001</v>
      </c>
    </row>
    <row r="132" spans="1:20" x14ac:dyDescent="0.25">
      <c r="A132" t="s">
        <v>482</v>
      </c>
      <c r="B132" t="s">
        <v>483</v>
      </c>
      <c r="C132" t="s">
        <v>22</v>
      </c>
      <c r="D132" t="s">
        <v>238</v>
      </c>
      <c r="E132" t="s">
        <v>48</v>
      </c>
      <c r="F132" t="s">
        <v>60</v>
      </c>
      <c r="G132" t="s">
        <v>288</v>
      </c>
      <c r="H132" t="s">
        <v>98</v>
      </c>
      <c r="I132" t="s">
        <v>52</v>
      </c>
      <c r="J132" t="s">
        <v>377</v>
      </c>
      <c r="K132">
        <v>15</v>
      </c>
      <c r="L132">
        <v>8956</v>
      </c>
      <c r="M132" t="s">
        <v>30</v>
      </c>
      <c r="N132">
        <v>120906</v>
      </c>
      <c r="O132">
        <v>84316.52</v>
      </c>
      <c r="P132">
        <v>36589.480000000003</v>
      </c>
      <c r="Q132" t="s">
        <v>62</v>
      </c>
      <c r="R132" t="s">
        <v>54</v>
      </c>
      <c r="S132" t="s">
        <v>33</v>
      </c>
      <c r="T132">
        <v>10.7584</v>
      </c>
    </row>
    <row r="133" spans="1:20" x14ac:dyDescent="0.25">
      <c r="A133" t="s">
        <v>484</v>
      </c>
      <c r="B133" t="s">
        <v>485</v>
      </c>
      <c r="C133" t="s">
        <v>118</v>
      </c>
      <c r="D133" t="s">
        <v>47</v>
      </c>
      <c r="E133" t="s">
        <v>380</v>
      </c>
      <c r="F133" t="s">
        <v>49</v>
      </c>
      <c r="G133" t="s">
        <v>234</v>
      </c>
      <c r="H133" t="s">
        <v>51</v>
      </c>
      <c r="I133" t="s">
        <v>52</v>
      </c>
      <c r="J133" t="s">
        <v>272</v>
      </c>
      <c r="K133">
        <v>31</v>
      </c>
      <c r="L133">
        <v>14286</v>
      </c>
      <c r="M133" t="s">
        <v>30</v>
      </c>
      <c r="N133">
        <v>398579.4</v>
      </c>
      <c r="O133">
        <v>321254.58</v>
      </c>
      <c r="P133">
        <v>77324.820000000007</v>
      </c>
      <c r="Q133" t="s">
        <v>62</v>
      </c>
      <c r="R133" t="s">
        <v>32</v>
      </c>
      <c r="S133" t="s">
        <v>44</v>
      </c>
      <c r="T133">
        <v>58.116700000000002</v>
      </c>
    </row>
    <row r="134" spans="1:20" x14ac:dyDescent="0.25">
      <c r="A134" t="s">
        <v>486</v>
      </c>
      <c r="B134" t="s">
        <v>487</v>
      </c>
      <c r="C134" t="s">
        <v>83</v>
      </c>
      <c r="D134" t="s">
        <v>47</v>
      </c>
      <c r="E134" t="s">
        <v>75</v>
      </c>
      <c r="F134" t="s">
        <v>91</v>
      </c>
      <c r="G134" t="s">
        <v>408</v>
      </c>
      <c r="H134" t="s">
        <v>67</v>
      </c>
      <c r="I134" t="s">
        <v>68</v>
      </c>
      <c r="J134" t="s">
        <v>272</v>
      </c>
      <c r="K134">
        <v>41</v>
      </c>
      <c r="L134">
        <v>13483</v>
      </c>
      <c r="M134" t="s">
        <v>71</v>
      </c>
      <c r="N134">
        <v>552803</v>
      </c>
      <c r="O134">
        <v>350132.81</v>
      </c>
      <c r="P134">
        <v>202670.19</v>
      </c>
      <c r="Q134" t="s">
        <v>31</v>
      </c>
      <c r="R134" t="s">
        <v>43</v>
      </c>
      <c r="S134" t="s">
        <v>44</v>
      </c>
      <c r="T134">
        <v>51.7044</v>
      </c>
    </row>
    <row r="135" spans="1:20" x14ac:dyDescent="0.25">
      <c r="A135" t="s">
        <v>488</v>
      </c>
      <c r="B135" t="s">
        <v>489</v>
      </c>
      <c r="C135" t="s">
        <v>118</v>
      </c>
      <c r="D135" t="s">
        <v>65</v>
      </c>
      <c r="E135" t="s">
        <v>48</v>
      </c>
      <c r="F135" t="s">
        <v>138</v>
      </c>
      <c r="G135" t="s">
        <v>490</v>
      </c>
      <c r="H135" t="s">
        <v>51</v>
      </c>
      <c r="I135" t="s">
        <v>41</v>
      </c>
      <c r="J135" t="s">
        <v>42</v>
      </c>
      <c r="K135">
        <v>78</v>
      </c>
      <c r="L135">
        <v>37051</v>
      </c>
      <c r="M135" t="s">
        <v>30</v>
      </c>
      <c r="N135">
        <v>2600980.2000000002</v>
      </c>
      <c r="O135">
        <v>1832139.22</v>
      </c>
      <c r="P135">
        <v>768840.98</v>
      </c>
      <c r="Q135" t="s">
        <v>86</v>
      </c>
      <c r="R135" t="s">
        <v>32</v>
      </c>
      <c r="S135" t="s">
        <v>106</v>
      </c>
      <c r="T135">
        <v>51.935299999999998</v>
      </c>
    </row>
    <row r="136" spans="1:20" x14ac:dyDescent="0.25">
      <c r="A136" t="s">
        <v>491</v>
      </c>
      <c r="B136" t="s">
        <v>492</v>
      </c>
      <c r="C136" t="s">
        <v>36</v>
      </c>
      <c r="D136" t="s">
        <v>47</v>
      </c>
      <c r="E136" t="s">
        <v>163</v>
      </c>
      <c r="F136" t="s">
        <v>25</v>
      </c>
      <c r="G136" t="s">
        <v>164</v>
      </c>
      <c r="H136" t="s">
        <v>98</v>
      </c>
      <c r="I136" t="s">
        <v>68</v>
      </c>
      <c r="J136" t="s">
        <v>327</v>
      </c>
      <c r="K136">
        <v>96</v>
      </c>
      <c r="L136">
        <v>30308</v>
      </c>
      <c r="M136" t="s">
        <v>30</v>
      </c>
      <c r="N136">
        <v>2618611.2000000002</v>
      </c>
      <c r="O136">
        <v>2347817.19</v>
      </c>
      <c r="P136">
        <v>270794.01</v>
      </c>
      <c r="Q136" t="s">
        <v>62</v>
      </c>
      <c r="R136" t="s">
        <v>32</v>
      </c>
      <c r="S136" t="s">
        <v>106</v>
      </c>
      <c r="T136">
        <v>3.9607999999999999</v>
      </c>
    </row>
    <row r="137" spans="1:20" x14ac:dyDescent="0.25">
      <c r="A137" t="s">
        <v>493</v>
      </c>
      <c r="B137" t="s">
        <v>494</v>
      </c>
      <c r="C137" t="s">
        <v>83</v>
      </c>
      <c r="D137" t="s">
        <v>113</v>
      </c>
      <c r="E137" t="s">
        <v>48</v>
      </c>
      <c r="F137" t="s">
        <v>39</v>
      </c>
      <c r="G137" t="s">
        <v>495</v>
      </c>
      <c r="H137" t="s">
        <v>27</v>
      </c>
      <c r="I137" t="s">
        <v>28</v>
      </c>
      <c r="J137" t="s">
        <v>85</v>
      </c>
      <c r="K137">
        <v>53</v>
      </c>
      <c r="L137" t="s">
        <v>496</v>
      </c>
      <c r="M137" t="s">
        <v>30</v>
      </c>
      <c r="N137">
        <v>636413.4</v>
      </c>
      <c r="O137">
        <v>559967.07999999996</v>
      </c>
      <c r="P137">
        <v>76446.320000000007</v>
      </c>
      <c r="Q137" t="s">
        <v>31</v>
      </c>
      <c r="R137" t="s">
        <v>32</v>
      </c>
      <c r="S137" t="s">
        <v>44</v>
      </c>
      <c r="T137">
        <v>58.1676</v>
      </c>
    </row>
    <row r="138" spans="1:20" x14ac:dyDescent="0.25">
      <c r="A138" t="s">
        <v>497</v>
      </c>
      <c r="B138" t="s">
        <v>498</v>
      </c>
      <c r="C138" t="s">
        <v>36</v>
      </c>
      <c r="D138" t="s">
        <v>74</v>
      </c>
      <c r="E138" t="s">
        <v>184</v>
      </c>
      <c r="F138" t="s">
        <v>49</v>
      </c>
      <c r="G138" t="s">
        <v>61</v>
      </c>
      <c r="H138" t="s">
        <v>27</v>
      </c>
      <c r="I138" t="s">
        <v>41</v>
      </c>
      <c r="J138" t="s">
        <v>460</v>
      </c>
      <c r="K138">
        <v>33</v>
      </c>
      <c r="L138">
        <v>20318</v>
      </c>
      <c r="M138" t="s">
        <v>80</v>
      </c>
      <c r="N138">
        <v>569919.9</v>
      </c>
      <c r="O138">
        <v>447570.82</v>
      </c>
      <c r="P138">
        <v>122349.08</v>
      </c>
      <c r="Q138" t="s">
        <v>31</v>
      </c>
      <c r="R138" t="s">
        <v>32</v>
      </c>
      <c r="S138" t="s">
        <v>106</v>
      </c>
      <c r="T138">
        <v>53.140799999999999</v>
      </c>
    </row>
    <row r="139" spans="1:20" x14ac:dyDescent="0.25">
      <c r="A139" t="s">
        <v>499</v>
      </c>
      <c r="B139" t="s">
        <v>500</v>
      </c>
      <c r="C139" t="s">
        <v>22</v>
      </c>
      <c r="D139" t="s">
        <v>37</v>
      </c>
      <c r="E139" t="s">
        <v>202</v>
      </c>
      <c r="F139" t="s">
        <v>49</v>
      </c>
      <c r="G139" t="s">
        <v>365</v>
      </c>
      <c r="H139" t="s">
        <v>51</v>
      </c>
      <c r="I139" t="s">
        <v>41</v>
      </c>
      <c r="J139" t="s">
        <v>204</v>
      </c>
      <c r="K139">
        <v>26</v>
      </c>
      <c r="L139" t="s">
        <v>501</v>
      </c>
      <c r="M139" t="s">
        <v>80</v>
      </c>
      <c r="N139">
        <v>1023870.9</v>
      </c>
      <c r="O139">
        <v>738210.45</v>
      </c>
      <c r="P139">
        <v>285660.45</v>
      </c>
      <c r="Q139" t="s">
        <v>31</v>
      </c>
      <c r="R139" t="s">
        <v>43</v>
      </c>
      <c r="S139" t="s">
        <v>44</v>
      </c>
      <c r="T139">
        <v>32.226599999999998</v>
      </c>
    </row>
    <row r="140" spans="1:20" x14ac:dyDescent="0.25">
      <c r="A140" t="s">
        <v>502</v>
      </c>
      <c r="B140" t="s">
        <v>503</v>
      </c>
      <c r="C140" t="s">
        <v>57</v>
      </c>
      <c r="D140" t="s">
        <v>113</v>
      </c>
      <c r="E140" t="s">
        <v>190</v>
      </c>
      <c r="F140" t="s">
        <v>60</v>
      </c>
      <c r="G140" t="s">
        <v>92</v>
      </c>
      <c r="H140" t="s">
        <v>51</v>
      </c>
      <c r="I140" t="s">
        <v>52</v>
      </c>
      <c r="J140" t="s">
        <v>103</v>
      </c>
      <c r="K140">
        <v>71</v>
      </c>
      <c r="L140">
        <v>8284</v>
      </c>
      <c r="M140" t="s">
        <v>80</v>
      </c>
      <c r="N140">
        <v>499939.4</v>
      </c>
      <c r="O140">
        <v>281247.24</v>
      </c>
      <c r="P140">
        <v>218692.16</v>
      </c>
      <c r="Q140" t="s">
        <v>31</v>
      </c>
      <c r="R140" t="s">
        <v>54</v>
      </c>
      <c r="S140" t="s">
        <v>44</v>
      </c>
      <c r="T140">
        <v>44.1952</v>
      </c>
    </row>
    <row r="141" spans="1:20" x14ac:dyDescent="0.25">
      <c r="A141" t="s">
        <v>504</v>
      </c>
      <c r="B141" t="s">
        <v>505</v>
      </c>
      <c r="C141" t="s">
        <v>36</v>
      </c>
      <c r="D141" t="s">
        <v>47</v>
      </c>
      <c r="E141" t="s">
        <v>380</v>
      </c>
      <c r="F141" t="s">
        <v>49</v>
      </c>
      <c r="G141" t="s">
        <v>306</v>
      </c>
      <c r="H141" t="s">
        <v>98</v>
      </c>
      <c r="I141" t="s">
        <v>68</v>
      </c>
      <c r="J141" t="s">
        <v>259</v>
      </c>
      <c r="K141">
        <v>1</v>
      </c>
      <c r="L141">
        <v>1071</v>
      </c>
      <c r="M141" t="s">
        <v>105</v>
      </c>
      <c r="N141">
        <v>1017.45</v>
      </c>
      <c r="O141">
        <v>517.57000000000005</v>
      </c>
      <c r="P141">
        <v>499.88</v>
      </c>
      <c r="Q141" t="s">
        <v>31</v>
      </c>
      <c r="R141" t="s">
        <v>43</v>
      </c>
      <c r="S141" t="s">
        <v>106</v>
      </c>
      <c r="T141">
        <v>17.6708</v>
      </c>
    </row>
    <row r="142" spans="1:20" x14ac:dyDescent="0.25">
      <c r="A142" t="s">
        <v>506</v>
      </c>
      <c r="B142" t="s">
        <v>375</v>
      </c>
      <c r="C142" t="s">
        <v>57</v>
      </c>
      <c r="D142" t="s">
        <v>113</v>
      </c>
      <c r="E142" t="s">
        <v>130</v>
      </c>
      <c r="F142" t="s">
        <v>39</v>
      </c>
      <c r="G142" t="s">
        <v>152</v>
      </c>
      <c r="H142" t="s">
        <v>98</v>
      </c>
      <c r="I142" t="s">
        <v>41</v>
      </c>
      <c r="J142" t="s">
        <v>235</v>
      </c>
      <c r="K142">
        <v>40</v>
      </c>
      <c r="L142">
        <v>4700</v>
      </c>
      <c r="M142" t="s">
        <v>105</v>
      </c>
      <c r="N142">
        <v>178600</v>
      </c>
      <c r="O142">
        <v>132869.91</v>
      </c>
      <c r="P142">
        <v>45730.09</v>
      </c>
      <c r="Q142" t="s">
        <v>31</v>
      </c>
      <c r="R142" t="s">
        <v>54</v>
      </c>
      <c r="S142" t="s">
        <v>106</v>
      </c>
      <c r="T142">
        <v>17.655899999999999</v>
      </c>
    </row>
    <row r="143" spans="1:20" x14ac:dyDescent="0.25">
      <c r="A143" t="s">
        <v>507</v>
      </c>
      <c r="B143" t="s">
        <v>508</v>
      </c>
      <c r="C143" t="s">
        <v>22</v>
      </c>
      <c r="D143" t="s">
        <v>156</v>
      </c>
      <c r="E143" t="s">
        <v>130</v>
      </c>
      <c r="F143" t="s">
        <v>60</v>
      </c>
      <c r="G143" t="s">
        <v>314</v>
      </c>
      <c r="H143" t="s">
        <v>67</v>
      </c>
      <c r="I143" t="s">
        <v>28</v>
      </c>
      <c r="J143" t="s">
        <v>272</v>
      </c>
      <c r="K143">
        <v>3</v>
      </c>
      <c r="L143" t="s">
        <v>509</v>
      </c>
      <c r="M143" t="s">
        <v>105</v>
      </c>
      <c r="N143">
        <v>105438.6</v>
      </c>
      <c r="O143">
        <v>76773.25</v>
      </c>
      <c r="P143">
        <v>28665.35</v>
      </c>
      <c r="Q143" t="s">
        <v>31</v>
      </c>
      <c r="R143" t="s">
        <v>43</v>
      </c>
      <c r="S143" t="s">
        <v>33</v>
      </c>
      <c r="T143">
        <v>59.777500000000003</v>
      </c>
    </row>
    <row r="144" spans="1:20" x14ac:dyDescent="0.25">
      <c r="A144" t="s">
        <v>510</v>
      </c>
      <c r="B144" t="s">
        <v>511</v>
      </c>
      <c r="C144" t="s">
        <v>83</v>
      </c>
      <c r="D144" t="s">
        <v>89</v>
      </c>
      <c r="E144" t="s">
        <v>38</v>
      </c>
      <c r="F144" t="s">
        <v>39</v>
      </c>
      <c r="G144" t="s">
        <v>512</v>
      </c>
      <c r="H144" t="s">
        <v>98</v>
      </c>
      <c r="I144" t="s">
        <v>77</v>
      </c>
      <c r="J144" t="s">
        <v>78</v>
      </c>
      <c r="K144">
        <v>37</v>
      </c>
      <c r="L144">
        <v>21286</v>
      </c>
      <c r="M144" t="s">
        <v>71</v>
      </c>
      <c r="N144">
        <v>787582</v>
      </c>
      <c r="O144">
        <v>698884</v>
      </c>
      <c r="P144">
        <v>88698</v>
      </c>
      <c r="Q144" t="s">
        <v>86</v>
      </c>
      <c r="R144" t="s">
        <v>32</v>
      </c>
      <c r="S144" t="s">
        <v>44</v>
      </c>
      <c r="T144">
        <v>25.668399999999998</v>
      </c>
    </row>
    <row r="145" spans="1:20" x14ac:dyDescent="0.25">
      <c r="A145" t="s">
        <v>513</v>
      </c>
      <c r="B145" t="s">
        <v>514</v>
      </c>
      <c r="C145" t="s">
        <v>118</v>
      </c>
      <c r="D145" t="s">
        <v>156</v>
      </c>
      <c r="E145" t="s">
        <v>252</v>
      </c>
      <c r="F145" t="s">
        <v>138</v>
      </c>
      <c r="G145" t="s">
        <v>515</v>
      </c>
      <c r="H145" t="s">
        <v>67</v>
      </c>
      <c r="I145" t="s">
        <v>28</v>
      </c>
      <c r="J145" t="s">
        <v>53</v>
      </c>
      <c r="K145">
        <v>31</v>
      </c>
      <c r="L145">
        <v>24595</v>
      </c>
      <c r="M145" t="s">
        <v>71</v>
      </c>
      <c r="N145">
        <v>762445</v>
      </c>
      <c r="O145">
        <v>606905.11</v>
      </c>
      <c r="P145">
        <v>155539.89000000001</v>
      </c>
      <c r="Q145" t="s">
        <v>31</v>
      </c>
      <c r="R145" t="s">
        <v>32</v>
      </c>
      <c r="S145" t="s">
        <v>33</v>
      </c>
      <c r="T145">
        <v>57.313499999999998</v>
      </c>
    </row>
    <row r="146" spans="1:20" x14ac:dyDescent="0.25">
      <c r="A146" t="s">
        <v>516</v>
      </c>
      <c r="B146" t="s">
        <v>517</v>
      </c>
      <c r="C146" t="s">
        <v>22</v>
      </c>
      <c r="D146" t="s">
        <v>195</v>
      </c>
      <c r="E146" t="s">
        <v>24</v>
      </c>
      <c r="F146" t="s">
        <v>60</v>
      </c>
      <c r="G146" t="s">
        <v>228</v>
      </c>
      <c r="H146" t="s">
        <v>98</v>
      </c>
      <c r="I146" t="s">
        <v>28</v>
      </c>
      <c r="J146" t="s">
        <v>115</v>
      </c>
      <c r="K146">
        <v>9</v>
      </c>
      <c r="L146">
        <v>33839</v>
      </c>
      <c r="M146" t="s">
        <v>30</v>
      </c>
      <c r="N146">
        <v>274095.90000000002</v>
      </c>
      <c r="O146">
        <v>229602.31</v>
      </c>
      <c r="P146">
        <v>44493.59</v>
      </c>
      <c r="Q146" t="s">
        <v>62</v>
      </c>
      <c r="R146" t="s">
        <v>54</v>
      </c>
      <c r="S146" t="s">
        <v>44</v>
      </c>
      <c r="T146">
        <v>50.594700000000003</v>
      </c>
    </row>
    <row r="147" spans="1:20" x14ac:dyDescent="0.25">
      <c r="A147" t="s">
        <v>518</v>
      </c>
      <c r="B147" t="s">
        <v>519</v>
      </c>
      <c r="C147" t="s">
        <v>83</v>
      </c>
      <c r="D147" t="s">
        <v>195</v>
      </c>
      <c r="E147" t="s">
        <v>130</v>
      </c>
      <c r="F147" t="s">
        <v>39</v>
      </c>
      <c r="G147" t="s">
        <v>76</v>
      </c>
      <c r="H147" t="s">
        <v>27</v>
      </c>
      <c r="I147" t="s">
        <v>77</v>
      </c>
      <c r="J147" t="s">
        <v>69</v>
      </c>
      <c r="K147">
        <v>85</v>
      </c>
      <c r="L147" t="s">
        <v>520</v>
      </c>
      <c r="M147" t="s">
        <v>30</v>
      </c>
      <c r="N147">
        <v>2177113.5</v>
      </c>
      <c r="O147">
        <v>1918254.99</v>
      </c>
      <c r="P147">
        <v>258858.51</v>
      </c>
      <c r="Q147" t="s">
        <v>86</v>
      </c>
      <c r="R147" t="s">
        <v>32</v>
      </c>
      <c r="S147" t="s">
        <v>33</v>
      </c>
      <c r="T147">
        <v>4.4264999999999999</v>
      </c>
    </row>
    <row r="148" spans="1:20" x14ac:dyDescent="0.25">
      <c r="A148" t="s">
        <v>521</v>
      </c>
      <c r="B148" t="s">
        <v>522</v>
      </c>
      <c r="C148" t="s">
        <v>118</v>
      </c>
      <c r="D148" t="s">
        <v>65</v>
      </c>
      <c r="E148" t="s">
        <v>66</v>
      </c>
      <c r="F148" t="s">
        <v>25</v>
      </c>
      <c r="G148" t="s">
        <v>523</v>
      </c>
      <c r="H148" t="s">
        <v>27</v>
      </c>
      <c r="I148" t="s">
        <v>28</v>
      </c>
      <c r="J148" t="s">
        <v>220</v>
      </c>
      <c r="K148">
        <v>21</v>
      </c>
      <c r="L148">
        <v>45266</v>
      </c>
      <c r="M148" t="s">
        <v>105</v>
      </c>
      <c r="N148">
        <v>903056.7</v>
      </c>
      <c r="O148">
        <v>805050.36</v>
      </c>
      <c r="P148">
        <v>98006.34</v>
      </c>
      <c r="Q148" t="s">
        <v>31</v>
      </c>
      <c r="R148" t="s">
        <v>43</v>
      </c>
      <c r="S148" t="s">
        <v>33</v>
      </c>
      <c r="T148">
        <v>35.375300000000003</v>
      </c>
    </row>
    <row r="149" spans="1:20" x14ac:dyDescent="0.25">
      <c r="A149" t="s">
        <v>524</v>
      </c>
      <c r="B149" t="s">
        <v>525</v>
      </c>
      <c r="C149" t="s">
        <v>118</v>
      </c>
      <c r="D149" t="s">
        <v>238</v>
      </c>
      <c r="E149" t="s">
        <v>75</v>
      </c>
      <c r="F149" t="s">
        <v>25</v>
      </c>
      <c r="G149" t="s">
        <v>282</v>
      </c>
      <c r="H149" t="s">
        <v>51</v>
      </c>
      <c r="I149" t="s">
        <v>41</v>
      </c>
      <c r="J149" t="s">
        <v>145</v>
      </c>
      <c r="K149">
        <v>14</v>
      </c>
      <c r="L149">
        <v>13361</v>
      </c>
      <c r="M149" t="s">
        <v>71</v>
      </c>
      <c r="N149">
        <v>187054</v>
      </c>
      <c r="O149">
        <v>129047.27</v>
      </c>
      <c r="P149">
        <v>58006.73</v>
      </c>
      <c r="Q149" t="s">
        <v>86</v>
      </c>
      <c r="R149" t="s">
        <v>43</v>
      </c>
      <c r="S149" t="s">
        <v>33</v>
      </c>
      <c r="T149">
        <v>44.822499999999998</v>
      </c>
    </row>
    <row r="150" spans="1:20" x14ac:dyDescent="0.25">
      <c r="A150" t="s">
        <v>526</v>
      </c>
      <c r="B150" t="s">
        <v>527</v>
      </c>
      <c r="C150" t="s">
        <v>22</v>
      </c>
      <c r="D150" t="s">
        <v>23</v>
      </c>
      <c r="E150" t="s">
        <v>130</v>
      </c>
      <c r="F150" t="s">
        <v>49</v>
      </c>
      <c r="G150" t="s">
        <v>185</v>
      </c>
      <c r="H150" t="s">
        <v>67</v>
      </c>
      <c r="I150" t="s">
        <v>77</v>
      </c>
      <c r="J150" t="s">
        <v>347</v>
      </c>
      <c r="K150">
        <v>77</v>
      </c>
      <c r="L150">
        <v>18697</v>
      </c>
      <c r="M150" t="s">
        <v>80</v>
      </c>
      <c r="N150">
        <v>1223718.6499999999</v>
      </c>
      <c r="O150">
        <v>949199.98</v>
      </c>
      <c r="P150">
        <v>274518.67</v>
      </c>
      <c r="Q150" t="s">
        <v>62</v>
      </c>
      <c r="R150" t="s">
        <v>54</v>
      </c>
      <c r="S150" t="s">
        <v>106</v>
      </c>
      <c r="T150">
        <v>39.186900000000001</v>
      </c>
    </row>
    <row r="151" spans="1:20" x14ac:dyDescent="0.25">
      <c r="A151" t="s">
        <v>528</v>
      </c>
      <c r="B151" t="s">
        <v>529</v>
      </c>
      <c r="C151" t="s">
        <v>36</v>
      </c>
      <c r="D151" t="s">
        <v>119</v>
      </c>
      <c r="E151" t="s">
        <v>380</v>
      </c>
      <c r="F151" t="s">
        <v>25</v>
      </c>
      <c r="G151" t="s">
        <v>126</v>
      </c>
      <c r="H151" t="s">
        <v>98</v>
      </c>
      <c r="I151" t="s">
        <v>68</v>
      </c>
      <c r="J151" t="s">
        <v>85</v>
      </c>
      <c r="K151">
        <v>25</v>
      </c>
      <c r="L151">
        <v>2974</v>
      </c>
      <c r="M151" t="s">
        <v>30</v>
      </c>
      <c r="N151">
        <v>66915</v>
      </c>
      <c r="O151">
        <v>35271.42</v>
      </c>
      <c r="P151">
        <v>31643.58</v>
      </c>
      <c r="Q151" t="s">
        <v>31</v>
      </c>
      <c r="R151" t="s">
        <v>54</v>
      </c>
      <c r="S151" t="s">
        <v>44</v>
      </c>
      <c r="T151">
        <v>30.348299999999998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9C74-04B2-40FC-9F0C-66B084EC2F4D}">
  <dimension ref="A1:U31"/>
  <sheetViews>
    <sheetView showGridLines="0" tabSelected="1" zoomScale="80" zoomScaleNormal="80" workbookViewId="0">
      <selection activeCell="A27" sqref="A27:B27"/>
    </sheetView>
  </sheetViews>
  <sheetFormatPr defaultRowHeight="15" x14ac:dyDescent="0.25"/>
  <cols>
    <col min="1" max="2" width="12.7109375" customWidth="1"/>
    <col min="3" max="3" width="9.28515625" bestFit="1" customWidth="1"/>
    <col min="4" max="4" width="9.140625" customWidth="1"/>
    <col min="5" max="5" width="12.5703125" customWidth="1"/>
    <col min="6" max="6" width="16.42578125" bestFit="1" customWidth="1"/>
    <col min="10" max="10" width="13.42578125" customWidth="1"/>
    <col min="11" max="11" width="18.42578125" customWidth="1"/>
    <col min="12" max="12" width="14.7109375" customWidth="1"/>
    <col min="13" max="13" width="10.85546875" bestFit="1" customWidth="1"/>
  </cols>
  <sheetData>
    <row r="1" spans="1:20" x14ac:dyDescent="0.25">
      <c r="A1" s="12"/>
      <c r="B1" s="12"/>
      <c r="C1" s="12"/>
      <c r="D1" s="12"/>
      <c r="E1" s="12"/>
      <c r="F1" s="12"/>
      <c r="G1" s="12"/>
      <c r="H1" s="12"/>
      <c r="I1" s="12"/>
      <c r="J1" s="12"/>
      <c r="K1" s="12"/>
      <c r="L1" s="12"/>
      <c r="M1" s="12"/>
      <c r="N1" s="12"/>
      <c r="O1" s="12"/>
      <c r="P1" s="12"/>
      <c r="Q1" s="12"/>
      <c r="R1" s="12"/>
      <c r="S1" s="12"/>
      <c r="T1" s="12"/>
    </row>
    <row r="2" spans="1:20" ht="28.5" x14ac:dyDescent="0.45">
      <c r="A2" s="12"/>
      <c r="B2" s="12"/>
      <c r="C2" s="13" t="s">
        <v>534</v>
      </c>
      <c r="D2" s="13"/>
      <c r="E2" s="13"/>
      <c r="F2" s="13"/>
      <c r="G2" s="13"/>
      <c r="H2" s="14"/>
      <c r="I2" s="12"/>
      <c r="J2" s="12"/>
      <c r="K2" s="12"/>
      <c r="L2" s="12"/>
      <c r="M2" s="12"/>
      <c r="N2" s="12"/>
      <c r="O2" s="12"/>
      <c r="P2" s="12"/>
      <c r="Q2" s="12"/>
      <c r="R2" s="12"/>
      <c r="S2" s="12"/>
      <c r="T2" s="12"/>
    </row>
    <row r="3" spans="1:20" ht="15.75" x14ac:dyDescent="0.25">
      <c r="A3" s="12"/>
      <c r="B3" s="12"/>
      <c r="C3" s="15" t="s">
        <v>535</v>
      </c>
      <c r="D3" s="15"/>
      <c r="E3" s="15"/>
      <c r="F3" s="15"/>
      <c r="G3" s="15"/>
      <c r="H3" s="16"/>
      <c r="I3" s="12"/>
      <c r="J3" s="12"/>
      <c r="K3" s="12"/>
      <c r="L3" s="12"/>
      <c r="M3" s="12"/>
      <c r="N3" s="12"/>
      <c r="O3" s="12"/>
      <c r="P3" s="12"/>
      <c r="Q3" s="12"/>
      <c r="R3" s="12"/>
      <c r="S3" s="12"/>
      <c r="T3" s="12"/>
    </row>
    <row r="4" spans="1:20" x14ac:dyDescent="0.25">
      <c r="A4" s="12"/>
      <c r="B4" s="12"/>
      <c r="C4" s="12"/>
      <c r="D4" s="12"/>
      <c r="E4" s="12"/>
      <c r="F4" s="12"/>
      <c r="G4" s="12"/>
      <c r="H4" s="12"/>
      <c r="I4" s="12"/>
      <c r="J4" s="12"/>
      <c r="K4" s="12"/>
      <c r="L4" s="12"/>
      <c r="M4" s="12"/>
      <c r="N4" s="12"/>
      <c r="O4" s="12"/>
      <c r="P4" s="12"/>
      <c r="Q4" s="12"/>
      <c r="R4" s="12"/>
      <c r="S4" s="12"/>
      <c r="T4" s="12"/>
    </row>
    <row r="5" spans="1:20" x14ac:dyDescent="0.25">
      <c r="A5" s="12"/>
      <c r="B5" s="12"/>
      <c r="C5" s="12"/>
      <c r="D5" s="12"/>
      <c r="E5" s="12"/>
      <c r="F5" s="12"/>
      <c r="G5" s="12"/>
      <c r="H5" s="12"/>
      <c r="I5" s="12"/>
      <c r="J5" s="12"/>
      <c r="K5" s="12"/>
      <c r="L5" s="12"/>
      <c r="M5" s="12"/>
      <c r="N5" s="12"/>
      <c r="O5" s="12"/>
      <c r="P5" s="12"/>
      <c r="Q5" s="12"/>
      <c r="R5" s="12"/>
      <c r="S5" s="12"/>
      <c r="T5" s="12"/>
    </row>
    <row r="6" spans="1:20" x14ac:dyDescent="0.25">
      <c r="A6" s="12"/>
      <c r="B6" s="12"/>
      <c r="C6" s="12"/>
      <c r="D6" s="12"/>
      <c r="E6" s="12"/>
      <c r="F6" s="17"/>
      <c r="G6" s="12"/>
      <c r="H6" s="12"/>
      <c r="I6" s="12"/>
      <c r="J6" s="12"/>
      <c r="K6" s="12"/>
      <c r="L6" s="12"/>
      <c r="M6" s="12"/>
      <c r="N6" s="12"/>
      <c r="O6" s="12"/>
      <c r="P6" s="12"/>
      <c r="Q6" s="12"/>
      <c r="R6" s="12"/>
      <c r="S6" s="12"/>
      <c r="T6" s="12"/>
    </row>
    <row r="7" spans="1:20" x14ac:dyDescent="0.25">
      <c r="A7" s="12"/>
      <c r="B7" s="12"/>
      <c r="C7" s="12"/>
      <c r="D7" s="12"/>
      <c r="E7" s="12"/>
      <c r="F7" s="12"/>
      <c r="G7" s="12"/>
      <c r="H7" s="12"/>
      <c r="I7" s="12"/>
      <c r="J7" s="12"/>
      <c r="K7" s="12"/>
      <c r="L7" s="12"/>
      <c r="M7" s="12"/>
      <c r="N7" s="12"/>
      <c r="O7" s="12"/>
      <c r="P7" s="12"/>
      <c r="Q7" s="12"/>
      <c r="R7" s="12"/>
      <c r="S7" s="12"/>
      <c r="T7" s="12"/>
    </row>
    <row r="8" spans="1:20" x14ac:dyDescent="0.25">
      <c r="A8" s="12"/>
      <c r="B8" s="12"/>
      <c r="C8" s="12"/>
      <c r="D8" s="12"/>
      <c r="E8" s="12"/>
      <c r="F8" s="12"/>
      <c r="G8" s="12"/>
      <c r="H8" s="12"/>
      <c r="I8" s="12"/>
      <c r="J8" s="12"/>
      <c r="K8" s="12"/>
      <c r="L8" s="12"/>
      <c r="M8" s="12"/>
      <c r="N8" s="12"/>
      <c r="O8" s="12"/>
      <c r="P8" s="12"/>
      <c r="Q8" s="12"/>
      <c r="R8" s="12"/>
      <c r="S8" s="12"/>
      <c r="T8" s="12"/>
    </row>
    <row r="9" spans="1:20" x14ac:dyDescent="0.25">
      <c r="A9" s="12"/>
      <c r="B9" s="12"/>
      <c r="C9" s="12"/>
      <c r="D9" s="18"/>
      <c r="E9" s="19" t="s">
        <v>557</v>
      </c>
      <c r="F9" s="19"/>
      <c r="G9" s="18"/>
      <c r="H9" s="12"/>
      <c r="I9" s="12"/>
      <c r="J9" s="20" t="s">
        <v>558</v>
      </c>
      <c r="K9" s="20"/>
      <c r="L9" s="20"/>
      <c r="M9" s="12"/>
      <c r="N9" s="12"/>
      <c r="O9" s="12"/>
      <c r="P9" s="12"/>
      <c r="Q9" s="12"/>
      <c r="R9" s="12"/>
      <c r="S9" s="12"/>
      <c r="T9" s="12"/>
    </row>
    <row r="10" spans="1:20" x14ac:dyDescent="0.25">
      <c r="A10" s="12"/>
      <c r="B10" s="12"/>
      <c r="C10" s="12"/>
      <c r="D10" s="12"/>
      <c r="E10" s="12"/>
      <c r="F10" s="12"/>
      <c r="G10" s="12"/>
      <c r="H10" s="12"/>
      <c r="I10" s="12"/>
      <c r="J10" s="12"/>
      <c r="K10" s="12"/>
      <c r="L10" s="12"/>
      <c r="M10" s="12"/>
      <c r="N10" s="12"/>
      <c r="O10" s="12"/>
      <c r="P10" s="12"/>
      <c r="Q10" s="12"/>
      <c r="R10" s="12"/>
      <c r="S10" s="12"/>
      <c r="T10" s="12"/>
    </row>
    <row r="11" spans="1:20" x14ac:dyDescent="0.25">
      <c r="A11" s="12"/>
      <c r="B11" s="12"/>
      <c r="C11" s="12"/>
      <c r="D11" s="12"/>
      <c r="E11" s="12"/>
      <c r="F11" s="12"/>
      <c r="G11" s="12"/>
      <c r="H11" s="12"/>
      <c r="I11" s="12"/>
      <c r="J11" s="12"/>
      <c r="K11" s="12"/>
      <c r="L11" s="12"/>
      <c r="M11" s="12"/>
      <c r="N11" s="12"/>
      <c r="O11" s="12"/>
      <c r="P11" s="12"/>
      <c r="Q11" s="12"/>
      <c r="R11" s="12"/>
      <c r="S11" s="12"/>
      <c r="T11" s="12"/>
    </row>
    <row r="12" spans="1:20" x14ac:dyDescent="0.25">
      <c r="A12" s="12"/>
      <c r="B12" s="12"/>
      <c r="C12" s="12"/>
      <c r="D12" s="12"/>
      <c r="E12" s="12"/>
      <c r="F12" s="12"/>
      <c r="G12" s="12"/>
      <c r="H12" s="12"/>
      <c r="I12" s="12"/>
      <c r="J12" s="12"/>
      <c r="K12" s="12"/>
      <c r="L12" s="12"/>
      <c r="M12" s="12"/>
      <c r="N12" s="12"/>
      <c r="O12" s="12"/>
      <c r="P12" s="12"/>
      <c r="Q12" s="12"/>
      <c r="R12" s="12"/>
      <c r="S12" s="12"/>
      <c r="T12" s="12"/>
    </row>
    <row r="13" spans="1:20" x14ac:dyDescent="0.25">
      <c r="A13" s="12"/>
      <c r="B13" s="12"/>
      <c r="C13" s="12"/>
      <c r="D13" s="12"/>
      <c r="E13" s="12"/>
      <c r="F13" s="12"/>
      <c r="G13" s="12"/>
      <c r="H13" s="12"/>
      <c r="I13" s="12"/>
      <c r="J13" s="12"/>
      <c r="K13" s="12"/>
      <c r="L13" s="12"/>
      <c r="M13" s="12"/>
      <c r="N13" s="12"/>
      <c r="O13" s="12"/>
      <c r="P13" s="12"/>
      <c r="Q13" s="12"/>
      <c r="R13" s="12"/>
      <c r="S13" s="12"/>
      <c r="T13" s="12"/>
    </row>
    <row r="14" spans="1:20" x14ac:dyDescent="0.25">
      <c r="A14" s="12"/>
      <c r="B14" s="12"/>
      <c r="C14" s="12"/>
      <c r="D14" s="12"/>
      <c r="E14" s="12"/>
      <c r="F14" s="12"/>
      <c r="G14" s="12"/>
      <c r="H14" s="12"/>
      <c r="I14" s="12"/>
      <c r="J14" s="12"/>
      <c r="K14" s="12"/>
      <c r="L14" s="12"/>
      <c r="M14" s="12"/>
      <c r="N14" s="12"/>
      <c r="O14" s="12"/>
      <c r="P14" s="12"/>
      <c r="Q14" s="12"/>
      <c r="R14" s="12"/>
      <c r="S14" s="12"/>
      <c r="T14" s="12"/>
    </row>
    <row r="15" spans="1:20" x14ac:dyDescent="0.25">
      <c r="A15" s="12"/>
      <c r="B15" s="12"/>
      <c r="C15" s="12"/>
      <c r="D15" s="12"/>
      <c r="E15" s="12"/>
      <c r="F15" s="12"/>
      <c r="G15" s="12"/>
      <c r="H15" s="12"/>
      <c r="I15" s="12"/>
      <c r="J15" s="12"/>
      <c r="K15" s="12"/>
      <c r="L15" s="12"/>
      <c r="M15" s="12"/>
      <c r="N15" s="12"/>
      <c r="O15" s="12"/>
      <c r="P15" s="12"/>
      <c r="Q15" s="12"/>
      <c r="R15" s="12"/>
      <c r="S15" s="12"/>
      <c r="T15" s="12"/>
    </row>
    <row r="16" spans="1:20" x14ac:dyDescent="0.25">
      <c r="A16" s="12"/>
      <c r="B16" s="12"/>
      <c r="C16" s="12"/>
      <c r="D16" s="12"/>
      <c r="E16" s="12"/>
      <c r="F16" s="12"/>
      <c r="G16" s="12"/>
      <c r="H16" s="12"/>
      <c r="I16" s="12"/>
      <c r="J16" s="12"/>
      <c r="K16" s="12"/>
      <c r="L16" s="12"/>
      <c r="M16" s="12"/>
      <c r="N16" s="12"/>
      <c r="O16" s="12"/>
      <c r="P16" s="12"/>
      <c r="Q16" s="12"/>
      <c r="R16" s="12"/>
      <c r="S16" s="12"/>
      <c r="T16" s="12"/>
    </row>
    <row r="17" spans="1:21" x14ac:dyDescent="0.25">
      <c r="A17" s="12"/>
      <c r="B17" s="12"/>
      <c r="C17" s="12"/>
      <c r="D17" s="12"/>
      <c r="E17" s="12"/>
      <c r="F17" s="12"/>
      <c r="G17" s="12"/>
      <c r="H17" s="12"/>
      <c r="I17" s="12"/>
      <c r="J17" s="12"/>
      <c r="K17" s="12"/>
      <c r="L17" s="12"/>
      <c r="M17" s="12"/>
      <c r="N17" s="12"/>
      <c r="O17" s="12"/>
      <c r="P17" s="12"/>
      <c r="Q17" s="12"/>
      <c r="R17" s="12"/>
      <c r="S17" s="12"/>
      <c r="T17" s="12"/>
    </row>
    <row r="18" spans="1:21" x14ac:dyDescent="0.25">
      <c r="A18" s="12"/>
      <c r="B18" s="12"/>
      <c r="C18" s="12"/>
      <c r="D18" s="12"/>
      <c r="E18" s="12"/>
      <c r="F18" s="12"/>
      <c r="G18" s="12"/>
      <c r="H18" s="12"/>
      <c r="I18" s="12"/>
      <c r="J18" s="12"/>
      <c r="K18" s="12"/>
      <c r="L18" s="12"/>
      <c r="M18" s="12"/>
      <c r="N18" s="12"/>
      <c r="O18" s="12"/>
      <c r="P18" s="12"/>
      <c r="Q18" s="12"/>
      <c r="R18" s="12"/>
      <c r="S18" s="12"/>
      <c r="T18" s="12"/>
    </row>
    <row r="19" spans="1:21" x14ac:dyDescent="0.25">
      <c r="A19" s="12"/>
      <c r="B19" s="12"/>
      <c r="C19" s="12"/>
      <c r="D19" s="12"/>
      <c r="E19" s="12"/>
      <c r="F19" s="12"/>
      <c r="G19" s="12"/>
      <c r="H19" s="12"/>
      <c r="I19" s="12"/>
      <c r="J19" s="12"/>
      <c r="K19" s="12"/>
      <c r="L19" s="12"/>
      <c r="M19" s="12"/>
      <c r="N19" s="12"/>
      <c r="O19" s="12"/>
      <c r="P19" s="12"/>
      <c r="Q19" s="12"/>
      <c r="R19" s="12"/>
      <c r="S19" s="12"/>
      <c r="T19" s="12"/>
      <c r="U19" s="11"/>
    </row>
    <row r="20" spans="1:21" x14ac:dyDescent="0.25">
      <c r="A20" s="12"/>
      <c r="B20" s="12"/>
      <c r="C20" s="12"/>
      <c r="D20" s="12"/>
      <c r="E20" s="12"/>
      <c r="F20" s="12"/>
      <c r="G20" s="12"/>
      <c r="H20" s="12"/>
      <c r="I20" s="12"/>
      <c r="J20" s="12"/>
      <c r="K20" s="12"/>
      <c r="L20" s="12"/>
      <c r="M20" s="12"/>
      <c r="N20" s="12"/>
      <c r="O20" s="12"/>
      <c r="P20" s="12"/>
      <c r="Q20" s="12"/>
      <c r="R20" s="12"/>
      <c r="S20" s="12"/>
      <c r="T20" s="12"/>
    </row>
    <row r="21" spans="1:21" ht="21" x14ac:dyDescent="0.3">
      <c r="A21" s="12"/>
      <c r="B21" s="12"/>
      <c r="C21" s="7"/>
      <c r="D21" s="10" t="s">
        <v>560</v>
      </c>
      <c r="E21" s="9"/>
      <c r="F21" s="9"/>
      <c r="G21" s="9"/>
      <c r="H21" s="9"/>
      <c r="I21" s="6"/>
      <c r="J21" s="10" t="s">
        <v>565</v>
      </c>
      <c r="K21" s="10"/>
      <c r="L21" s="10"/>
      <c r="M21" s="10"/>
      <c r="N21" s="21" t="s">
        <v>567</v>
      </c>
      <c r="O21" s="21"/>
      <c r="P21" s="21"/>
      <c r="Q21" s="21"/>
      <c r="R21" s="21"/>
      <c r="S21" s="12"/>
      <c r="T21" s="12"/>
    </row>
    <row r="22" spans="1:21" ht="18.75" x14ac:dyDescent="0.3">
      <c r="A22" s="12"/>
      <c r="B22" s="12"/>
      <c r="C22" s="22"/>
      <c r="D22" s="23" t="s">
        <v>563</v>
      </c>
      <c r="E22" s="23" t="s">
        <v>564</v>
      </c>
      <c r="F22" s="24" t="s">
        <v>562</v>
      </c>
      <c r="G22" s="25"/>
      <c r="H22" s="25"/>
      <c r="I22" s="12"/>
      <c r="J22" s="24" t="s">
        <v>561</v>
      </c>
      <c r="K22" s="26" t="s">
        <v>566</v>
      </c>
      <c r="L22" s="26" t="s">
        <v>562</v>
      </c>
      <c r="M22" s="25"/>
      <c r="N22" s="25"/>
      <c r="O22" s="12"/>
      <c r="P22" s="12"/>
      <c r="Q22" s="12"/>
      <c r="R22" s="12"/>
      <c r="S22" s="12"/>
      <c r="T22" s="12"/>
    </row>
    <row r="23" spans="1:21" ht="18.75" x14ac:dyDescent="0.3">
      <c r="A23" s="12"/>
      <c r="B23" s="12"/>
      <c r="C23" s="22"/>
      <c r="D23" s="24" cm="1">
        <f t="array" ref="D23:D27">_xlfn.SEQUENCE(5)</f>
        <v>1</v>
      </c>
      <c r="E23" s="27" t="str" cm="1">
        <f t="array" ref="E23:E27">CleanData!A19:A23</f>
        <v>Australia</v>
      </c>
      <c r="F23" s="27" cm="1">
        <f t="array" ref="F23:F27">CleanData!B19:B23</f>
        <v>12051524</v>
      </c>
      <c r="G23" s="28"/>
      <c r="H23" s="29"/>
      <c r="I23" s="12"/>
      <c r="J23" s="26" cm="1">
        <f t="array" ref="J23:J27">_xlfn.SEQUENCE(5)</f>
        <v>1</v>
      </c>
      <c r="K23" s="30" t="str" cm="1">
        <f t="array" ref="K23:K27">CleanData!D19:D23</f>
        <v>Credit Cards</v>
      </c>
      <c r="L23" s="31" cm="1">
        <f t="array" ref="L23:L27">CleanData!E19:E23</f>
        <v>28665883</v>
      </c>
      <c r="M23" s="27"/>
      <c r="N23" s="12"/>
      <c r="O23" s="12"/>
      <c r="P23" s="12"/>
      <c r="Q23" s="12"/>
      <c r="R23" s="12"/>
      <c r="S23" s="12"/>
      <c r="T23" s="12"/>
    </row>
    <row r="24" spans="1:21" ht="18.75" x14ac:dyDescent="0.3">
      <c r="A24" s="12"/>
      <c r="B24" s="12"/>
      <c r="C24" s="22"/>
      <c r="D24" s="24">
        <v>2</v>
      </c>
      <c r="E24" s="27" t="str">
        <v>India</v>
      </c>
      <c r="F24" s="27">
        <v>14005012</v>
      </c>
      <c r="G24" s="28"/>
      <c r="H24" s="29"/>
      <c r="I24" s="32"/>
      <c r="J24" s="33">
        <v>2</v>
      </c>
      <c r="K24" s="30" t="str">
        <v>Insurance</v>
      </c>
      <c r="L24" s="31">
        <v>29001839</v>
      </c>
      <c r="M24" s="34"/>
      <c r="N24" s="12"/>
      <c r="O24" s="12"/>
      <c r="P24" s="12"/>
      <c r="Q24" s="12"/>
      <c r="R24" s="12"/>
      <c r="S24" s="12"/>
      <c r="T24" s="12"/>
    </row>
    <row r="25" spans="1:21" ht="18.75" x14ac:dyDescent="0.3">
      <c r="A25" s="12"/>
      <c r="B25" s="12"/>
      <c r="C25" s="22"/>
      <c r="D25" s="24">
        <v>3</v>
      </c>
      <c r="E25" s="27" t="str">
        <v>Singapore</v>
      </c>
      <c r="F25" s="27">
        <v>12995870</v>
      </c>
      <c r="G25" s="28"/>
      <c r="H25" s="29"/>
      <c r="I25" s="32"/>
      <c r="J25" s="33">
        <v>3</v>
      </c>
      <c r="K25" s="30" t="str">
        <v>Investments</v>
      </c>
      <c r="L25" s="31">
        <v>23637151</v>
      </c>
      <c r="M25" s="34"/>
      <c r="N25" s="12"/>
      <c r="O25" s="12"/>
      <c r="P25" s="12"/>
      <c r="Q25" s="12"/>
      <c r="R25" s="12"/>
      <c r="S25" s="12"/>
      <c r="T25" s="12"/>
    </row>
    <row r="26" spans="1:21" ht="21" x14ac:dyDescent="0.35">
      <c r="A26" s="37" t="s">
        <v>568</v>
      </c>
      <c r="B26" s="37"/>
      <c r="C26" s="22"/>
      <c r="D26" s="24">
        <v>4</v>
      </c>
      <c r="E26" s="27" t="str">
        <v>Thailand</v>
      </c>
      <c r="F26" s="27">
        <v>15422013</v>
      </c>
      <c r="G26" s="28"/>
      <c r="H26" s="29"/>
      <c r="I26" s="32"/>
      <c r="J26" s="33">
        <v>4</v>
      </c>
      <c r="K26" s="30" t="str">
        <v>Loans</v>
      </c>
      <c r="L26" s="31">
        <v>38324450</v>
      </c>
      <c r="M26" s="34"/>
      <c r="N26" s="12"/>
      <c r="O26" s="12"/>
      <c r="P26" s="12"/>
      <c r="Q26" s="12"/>
      <c r="R26" s="12"/>
      <c r="S26" s="12"/>
      <c r="T26" s="12"/>
    </row>
    <row r="27" spans="1:21" ht="21" x14ac:dyDescent="0.35">
      <c r="A27" s="38">
        <v>46179</v>
      </c>
      <c r="B27" s="38"/>
      <c r="C27" s="35"/>
      <c r="D27" s="24">
        <v>5</v>
      </c>
      <c r="E27" s="27" t="str">
        <v>USA</v>
      </c>
      <c r="F27" s="27">
        <v>13687265</v>
      </c>
      <c r="G27" s="28"/>
      <c r="H27" s="29"/>
      <c r="I27" s="32"/>
      <c r="J27" s="33">
        <v>5</v>
      </c>
      <c r="K27" s="30" t="str">
        <v>Savings</v>
      </c>
      <c r="L27" s="31">
        <v>31875429</v>
      </c>
      <c r="M27" s="34"/>
      <c r="N27" s="12"/>
      <c r="O27" s="12"/>
      <c r="P27" s="12"/>
      <c r="Q27" s="12"/>
      <c r="R27" s="12"/>
      <c r="S27" s="12"/>
      <c r="T27" s="12"/>
    </row>
    <row r="28" spans="1:21" x14ac:dyDescent="0.25">
      <c r="A28" s="12"/>
      <c r="B28" s="12"/>
      <c r="C28" s="36"/>
      <c r="D28" s="12"/>
      <c r="E28" s="12"/>
      <c r="F28" s="12"/>
      <c r="G28" s="12"/>
      <c r="H28" s="12"/>
      <c r="I28" s="12"/>
      <c r="J28" s="12"/>
      <c r="K28" s="12"/>
      <c r="L28" s="12"/>
      <c r="M28" s="12"/>
      <c r="N28" s="12"/>
      <c r="O28" s="12"/>
      <c r="P28" s="12"/>
      <c r="Q28" s="12"/>
      <c r="R28" s="12"/>
      <c r="S28" s="12"/>
      <c r="T28" s="12"/>
    </row>
    <row r="29" spans="1:21" x14ac:dyDescent="0.25">
      <c r="A29" s="12"/>
      <c r="B29" s="12"/>
      <c r="C29" s="12"/>
      <c r="D29" s="12"/>
      <c r="E29" s="12"/>
      <c r="F29" s="12"/>
      <c r="G29" s="12"/>
      <c r="H29" s="12"/>
      <c r="I29" s="12"/>
      <c r="J29" s="12"/>
      <c r="K29" s="12"/>
      <c r="L29" s="12"/>
      <c r="M29" s="12"/>
      <c r="N29" s="12"/>
      <c r="O29" s="12"/>
      <c r="P29" s="12"/>
      <c r="Q29" s="12"/>
      <c r="R29" s="12"/>
      <c r="S29" s="12"/>
      <c r="T29" s="12"/>
    </row>
    <row r="30" spans="1:21" x14ac:dyDescent="0.25">
      <c r="A30" s="12"/>
      <c r="B30" s="12"/>
      <c r="C30" s="12"/>
      <c r="D30" s="12"/>
      <c r="E30" s="12"/>
      <c r="F30" s="12"/>
      <c r="G30" s="12"/>
      <c r="H30" s="12"/>
      <c r="I30" s="12"/>
      <c r="J30" s="12"/>
      <c r="K30" s="12"/>
      <c r="L30" s="12"/>
      <c r="M30" s="12"/>
      <c r="N30" s="12"/>
      <c r="O30" s="12"/>
      <c r="P30" s="12"/>
      <c r="Q30" s="12"/>
      <c r="R30" s="12"/>
      <c r="S30" s="12"/>
      <c r="T30" s="12"/>
    </row>
    <row r="31" spans="1:21" x14ac:dyDescent="0.25">
      <c r="A31" s="12"/>
      <c r="B31" s="12"/>
      <c r="C31" s="12"/>
      <c r="D31" s="12"/>
      <c r="E31" s="12"/>
      <c r="F31" s="12"/>
      <c r="G31" s="12"/>
      <c r="H31" s="12"/>
      <c r="I31" s="12"/>
      <c r="J31" s="12"/>
      <c r="K31" s="12"/>
      <c r="L31" s="12"/>
      <c r="M31" s="12"/>
      <c r="N31" s="12"/>
      <c r="O31" s="12"/>
      <c r="P31" s="12"/>
      <c r="Q31" s="12"/>
      <c r="R31" s="12"/>
      <c r="S31" s="12"/>
      <c r="T31" s="12"/>
    </row>
  </sheetData>
  <mergeCells count="8">
    <mergeCell ref="M22:N22"/>
    <mergeCell ref="J21:M21"/>
    <mergeCell ref="N21:R21"/>
    <mergeCell ref="A27:B27"/>
    <mergeCell ref="A26:B26"/>
    <mergeCell ref="J9:L9"/>
    <mergeCell ref="D21:H21"/>
    <mergeCell ref="G22:H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F0A045-A420-4733-BCF4-8913954DF2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CleanData</vt:lpstr>
      <vt:lpstr>Messy_Data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office47415</cp:lastModifiedBy>
  <dcterms:created xsi:type="dcterms:W3CDTF">2026-06-04T11:50:15Z</dcterms:created>
  <dcterms:modified xsi:type="dcterms:W3CDTF">2026-06-06T12:48:29Z</dcterms:modified>
</cp:coreProperties>
</file>